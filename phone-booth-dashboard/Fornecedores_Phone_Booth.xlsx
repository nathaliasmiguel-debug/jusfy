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ação Phone Booth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tc={6e216fa2-abf0-49b9-8319-51ae58203b16}</author>
    <author>tc={d9d3f393-86cb-4dec-a8d1-9d650b1c9160}</author>
  </authors>
  <commentList>
    <comment authorId="0" ref="H7">
      <text>
        <t xml:space="preserve">Só cor prata - possivel envelopar depois </t>
      </text>
    </comment>
    <comment authorId="0" ref="I7">
      <text>
        <t xml:space="preserve">Cabine + Banqueta</t>
      </text>
    </comment>
    <comment authorId="0" ref="I6">
      <text>
        <t xml:space="preserve">Sobre a mesa, ela vem com uma mesa e dois bancos, acoplados</t>
      </text>
    </comment>
    <comment authorId="0" ref="D9">
      <text>
        <t xml:space="preserve">Frete para Santa Maria/RS = 12% do valor do pedido, conforme informado por WhatsApp em 04/08/2026 (fornecedor é de SP; frete/montagem só são gratuitos na grande SP).</t>
      </text>
    </comment>
    <comment authorId="0" ref="C7">
      <text>
        <t xml:space="preserve">R$ 29.990,00 (valor unitário) + R$ 974,68 (IPI 3,25%) = R$ 30.964,67, conforme Orçamento nº 251827 Rev.1 (04/08/2026).</t>
      </text>
    </comment>
    <comment authorId="0" ref="E9">
      <text>
        <t xml:space="preserve">Aqui são 1,5k de taxa + custos de viagem dos montadores (passagem+hospedagem+alimentação)</t>
      </text>
    </comment>
    <comment authorId="0" ref="G8">
      <text>
        <t xml:space="preserve">10x no cartão</t>
      </text>
    </comment>
    <comment authorId="1" xr:uid="{6e216fa2-abf0-49b9-8319-51ae58203b16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Aquele de ontem tá nessa lista tb, nath? @nathalia.fernandes@jusfy.com.br
Atribuído a nathalia.fernandes@jusfy.com.br
</t>
      </text>
    </comment>
    <comment authorId="2" xr:uid="{d9d3f393-86cb-4dec-a8d1-9d650b1c9160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72hrs uteis para ter esse valor
</t>
      </text>
    </comment>
  </commentList>
</comments>
</file>

<file path=xl/sharedStrings.xml><?xml version="1.0" encoding="utf-8"?>
<sst xmlns="http://schemas.openxmlformats.org/spreadsheetml/2006/main" count="64" uniqueCount="48">
  <si>
    <t>Cotação — Cabine Acústica Individual (Phone Booth)</t>
  </si>
  <si>
    <t>Entrega e instalação em Santa Maria/RS</t>
  </si>
  <si>
    <t>1. DETALHAMENTO DAS PROPOSTAS</t>
  </si>
  <si>
    <t>Fornecedor</t>
  </si>
  <si>
    <t>Modelo</t>
  </si>
  <si>
    <t>Valor da cabine (R$)</t>
  </si>
  <si>
    <t>Frete (R$)</t>
  </si>
  <si>
    <t>Montagem (R$)</t>
  </si>
  <si>
    <t>Valor total (R$)</t>
  </si>
  <si>
    <t>Prazo (dias)</t>
  </si>
  <si>
    <t>Cabine Preta?</t>
  </si>
  <si>
    <t>Com mesa inclusa?</t>
  </si>
  <si>
    <t>Observações</t>
  </si>
  <si>
    <t>Linea Office</t>
  </si>
  <si>
    <t>Phone Booth - Simples</t>
  </si>
  <si>
    <t>30 dias corridos</t>
  </si>
  <si>
    <t>Sim</t>
  </si>
  <si>
    <r>
      <rPr>
        <rFont val="Poppins"/>
        <sz val="9.0"/>
      </rPr>
      <t xml:space="preserve">Link : </t>
    </r>
    <r>
      <rPr>
        <rFont val="Poppins"/>
        <color rgb="FF1155CC"/>
        <sz val="9.0"/>
        <u/>
      </rPr>
      <t>https://lineaoffice.com.br/pm/cabine-phone-booth/</t>
    </r>
    <r>
      <rPr>
        <rFont val="Poppins"/>
        <sz val="9.0"/>
      </rPr>
      <t xml:space="preserve"> / Proposta nº 7633 (04/08/2026), válida até 14/08/2026. Frete e instalação inclusos no orçamento, entrega em 30 dias corridos</t>
    </r>
  </si>
  <si>
    <t>Silent Box</t>
  </si>
  <si>
    <t>Silent Call 2</t>
  </si>
  <si>
    <t>40 dias</t>
  </si>
  <si>
    <t>Não</t>
  </si>
  <si>
    <r>
      <rPr>
        <rFont val="Poppins"/>
        <color rgb="FF1F1F1F"/>
        <sz val="9.0"/>
      </rPr>
      <t xml:space="preserve">Link: </t>
    </r>
    <r>
      <rPr>
        <rFont val="Poppins"/>
        <color rgb="FF0000FF"/>
        <sz val="9.0"/>
        <u/>
      </rPr>
      <t>https://silentbox.com.br/silent-call-cabine-acustica-individual/</t>
    </r>
  </si>
  <si>
    <t>Mirage Móveis</t>
  </si>
  <si>
    <t>Cabine Booths - Cabine Única</t>
  </si>
  <si>
    <t>32 dias úteis</t>
  </si>
  <si>
    <r>
      <rPr>
        <rFont val="Poppins"/>
        <sz val="9.0"/>
      </rPr>
      <t xml:space="preserve">Link: </t>
    </r>
    <r>
      <rPr>
        <rFont val="Poppins"/>
        <color rgb="FF1155CC"/>
        <sz val="9.0"/>
        <u/>
      </rPr>
      <t>https://miragemoveis.com.br/solucoes-acusticas/cabine-phone/</t>
    </r>
  </si>
  <si>
    <t>Mcadoffices</t>
  </si>
  <si>
    <t>Linha O</t>
  </si>
  <si>
    <t>45 dias corridos</t>
  </si>
  <si>
    <r>
      <rPr>
        <rFont val="Poppins"/>
        <color rgb="FF1F1F1F"/>
        <sz val="9.0"/>
      </rPr>
      <t xml:space="preserve">Link: </t>
    </r>
    <r>
      <rPr>
        <rFont val="Poppins"/>
        <color rgb="FF0000FF"/>
        <sz val="9.0"/>
        <u/>
      </rPr>
      <t>https://mcadoffices.com.br/produto/oexp1/</t>
    </r>
  </si>
  <si>
    <t>Atualle Design</t>
  </si>
  <si>
    <t xml:space="preserve">Cabine Solo da Attenua </t>
  </si>
  <si>
    <t xml:space="preserve">~60 dias (35 dias corridos para fabricação + 10 dias úteis de entrega) </t>
  </si>
  <si>
    <r>
      <rPr>
        <rFont val="Poppins"/>
        <sz val="9.0"/>
      </rPr>
      <t xml:space="preserve">Link: </t>
    </r>
    <r>
      <rPr>
        <rFont val="Poppins"/>
        <color rgb="FF1155CC"/>
        <sz val="9.0"/>
        <u/>
      </rPr>
      <t>https://www.atualledesign.com.br/cabine-acustica-solo-grafite-preto</t>
    </r>
    <r>
      <rPr>
        <rFont val="Poppins"/>
        <sz val="9.0"/>
      </rPr>
      <t xml:space="preserve"> (escolha inicial do Rafa)</t>
    </r>
  </si>
  <si>
    <t xml:space="preserve"> Dikta</t>
  </si>
  <si>
    <t xml:space="preserve">[D-CAB-CORE-IND-300.158] Cabine Individual (L900xP1000xA2300MM), revestimento interno e externo em espuma e tecido crepe de poliéster, porta frontal em vidro com exclusivo sistema de fechamento. Iluminação interna LED 3000K e sistema de troca de ar de alto desempenho. </t>
  </si>
  <si>
    <r>
      <rPr>
        <rFont val="Poppins"/>
        <sz val="9.0"/>
      </rPr>
      <t xml:space="preserve">Link: </t>
    </r>
    <r>
      <rPr>
        <rFont val="Poppins"/>
        <color rgb="FF1155CC"/>
        <sz val="9.0"/>
        <u/>
      </rPr>
      <t>https://dikta.com.br/moveis-para-escritorio/produtos/core-riserva-cabines-acusticas/</t>
    </r>
    <r>
      <rPr>
        <rFont val="Poppins"/>
        <sz val="9.0"/>
      </rPr>
      <t xml:space="preserve">  Mesa de apoio interna e caixa de tomadas inclusos.</t>
    </r>
  </si>
  <si>
    <t xml:space="preserve"> Huffix</t>
  </si>
  <si>
    <t>44102112098090 - CAB FERRARI ESTR AÇO-1P-MESA APOIO BAIXA-PORTA VIDRO 10MM-ILUM LED-PISO FORR-EXAUSTOR-DIM(MM)1200LX920PX2115H</t>
  </si>
  <si>
    <r>
      <rPr>
        <rFont val="Poppins"/>
        <color rgb="FF1F1F1F"/>
        <sz val="9.0"/>
      </rPr>
      <t xml:space="preserve"> Link: </t>
    </r>
    <r>
      <rPr>
        <rFont val="Poppins"/>
        <color rgb="FF0000FF"/>
        <sz val="9.0"/>
        <u/>
      </rPr>
      <t>https://cabineparaescritorio.com.br/</t>
    </r>
  </si>
  <si>
    <t>Nathália Fernandes</t>
  </si>
  <si>
    <t>TODOS OS FORNECEDORES TÊM CABINE PRETA?</t>
  </si>
  <si>
    <t>ok</t>
  </si>
  <si>
    <t>PRECISARIA DO PRAZO DE TODAS</t>
  </si>
  <si>
    <t>TODAS ATENDEM SANTA MARIA?</t>
  </si>
  <si>
    <t>sim</t>
  </si>
  <si>
    <t>TODAS DEPENDEM DE MONTADOR?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</si>
</sst>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 &quot;#,##0.00;&quot;-R$ &quot;#,##0.00;\-"/>
    <numFmt numFmtId="165" formatCode="0;;\-"/>
  </numFmts>
  <fonts count="10">
    <font>
      <sz val="11.0"/>
      <color theme="1"/>
      <name val="Calibri"/>
      <scheme val="minor"/>
    </font>
    <font>
      <b/>
      <sz val="9.0"/>
      <color rgb="FF1B4332"/>
      <name val="Poppins"/>
    </font>
    <font>
      <i/>
      <sz val="9.0"/>
      <color rgb="FF597463"/>
      <name val="Poppins"/>
    </font>
    <font>
      <sz val="9.0"/>
      <color theme="1"/>
      <name val="Poppins"/>
    </font>
    <font>
      <u/>
      <sz val="9.0"/>
      <color rgb="FF0000FF"/>
      <name val="Poppins"/>
    </font>
    <font>
      <u/>
      <sz val="9.0"/>
      <color rgb="FF0000FF"/>
      <name val="Poppins"/>
    </font>
    <font>
      <u/>
      <sz val="9.0"/>
      <color rgb="FF0000FF"/>
      <name val="Poppins"/>
    </font>
    <font>
      <u/>
      <sz val="9.0"/>
      <color rgb="FF0000FF"/>
      <name val="Poppins"/>
    </font>
    <font>
      <u/>
      <sz val="9.0"/>
      <color theme="1"/>
      <name val="Poppins"/>
    </font>
    <font>
      <b/>
      <sz val="9.0"/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A9CBA4"/>
        <bgColor rgb="FFA9CBA4"/>
      </patternFill>
    </fill>
    <fill>
      <patternFill patternType="solid">
        <fgColor rgb="FFF3F8F1"/>
        <bgColor rgb="FFF3F8F1"/>
      </patternFill>
    </fill>
    <fill>
      <patternFill patternType="solid">
        <fgColor rgb="FFFF0000"/>
        <bgColor rgb="FFFF0000"/>
      </patternFill>
    </fill>
  </fills>
  <borders count="6">
    <border/>
    <border>
      <left/>
      <right/>
      <top/>
      <bottom style="medium">
        <color rgb="FF1B4332"/>
      </bottom>
    </border>
    <border>
      <bottom style="thin">
        <color rgb="FFC8DED0"/>
      </bottom>
    </border>
    <border>
      <left/>
      <right/>
      <top/>
      <bottom style="thin">
        <color rgb="FFC8DED0"/>
      </bottom>
    </border>
    <border>
      <left/>
      <right/>
      <top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0" fontId="1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3" numFmtId="0" xfId="0" applyAlignment="1" applyBorder="1" applyFont="1">
      <alignment horizontal="left" shrinkToFit="0" vertical="center" wrapText="0"/>
    </xf>
    <xf borderId="2" fillId="0" fontId="3" numFmtId="0" xfId="0" applyAlignment="1" applyBorder="1" applyFont="1">
      <alignment horizontal="left" shrinkToFit="0" vertical="center" wrapText="1"/>
    </xf>
    <xf borderId="2" fillId="0" fontId="3" numFmtId="164" xfId="0" applyAlignment="1" applyBorder="1" applyFont="1" applyNumberFormat="1">
      <alignment horizontal="center" shrinkToFit="0" vertical="center" wrapText="0"/>
    </xf>
    <xf borderId="2" fillId="0" fontId="3" numFmtId="164" xfId="0" applyAlignment="1" applyBorder="1" applyFont="1" applyNumberFormat="1">
      <alignment horizontal="center" readingOrder="0" shrinkToFit="0" vertical="center" wrapText="0"/>
    </xf>
    <xf borderId="2" fillId="0" fontId="3" numFmtId="165" xfId="0" applyAlignment="1" applyBorder="1" applyFont="1" applyNumberFormat="1">
      <alignment horizontal="center" readingOrder="0" shrinkToFit="0" vertical="center" wrapText="0"/>
    </xf>
    <xf borderId="2" fillId="0" fontId="4" numFmtId="0" xfId="0" applyAlignment="1" applyBorder="1" applyFont="1">
      <alignment horizontal="left" readingOrder="0" shrinkToFit="0" vertical="center" wrapText="1"/>
    </xf>
    <xf borderId="3" fillId="3" fontId="3" numFmtId="0" xfId="0" applyAlignment="1" applyBorder="1" applyFill="1" applyFont="1">
      <alignment horizontal="left" shrinkToFit="0" vertical="center" wrapText="0"/>
    </xf>
    <xf borderId="3" fillId="3" fontId="3" numFmtId="0" xfId="0" applyAlignment="1" applyBorder="1" applyFill="1" applyFont="1">
      <alignment horizontal="left" shrinkToFit="0" vertical="center" wrapText="1"/>
    </xf>
    <xf borderId="3" fillId="3" fontId="3" numFmtId="164" xfId="0" applyAlignment="1" applyBorder="1" applyFill="1" applyFont="1" applyNumberFormat="1">
      <alignment horizontal="center" readingOrder="0" shrinkToFit="0" vertical="center" wrapText="0"/>
    </xf>
    <xf borderId="3" fillId="3" fontId="3" numFmtId="164" xfId="0" applyAlignment="1" applyBorder="1" applyFill="1" applyFont="1" applyNumberFormat="1">
      <alignment horizontal="center" shrinkToFit="0" vertical="center" wrapText="0"/>
    </xf>
    <xf borderId="3" fillId="3" fontId="3" numFmtId="165" xfId="0" applyAlignment="1" applyBorder="1" applyFill="1" applyFont="1" applyNumberFormat="1">
      <alignment horizontal="center" readingOrder="0" shrinkToFit="0" vertical="center" wrapText="0"/>
    </xf>
    <xf borderId="3" fillId="3" fontId="5" numFmtId="0" xfId="0" applyAlignment="1" applyBorder="1" applyFill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164" xfId="0" applyAlignment="1" applyBorder="1" applyFont="1" applyNumberFormat="1">
      <alignment horizontal="center" readingOrder="0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0"/>
    </xf>
    <xf borderId="3" fillId="0" fontId="3" numFmtId="165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1"/>
    </xf>
    <xf borderId="4" fillId="0" fontId="3" numFmtId="164" xfId="0" applyAlignment="1" applyBorder="1" applyFont="1" applyNumberFormat="1">
      <alignment horizontal="center" readingOrder="0" shrinkToFit="0" vertical="center" wrapText="0"/>
    </xf>
    <xf borderId="4" fillId="0" fontId="3" numFmtId="164" xfId="0" applyAlignment="1" applyBorder="1" applyFont="1" applyNumberFormat="1">
      <alignment horizontal="center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4" fillId="0" fontId="7" numFmtId="0" xfId="0" applyAlignment="1" applyBorder="1" applyFont="1">
      <alignment horizontal="left" readingOrder="0" shrinkToFit="0" vertical="center" wrapText="1"/>
    </xf>
    <xf borderId="5" fillId="2" fontId="1" numFmtId="0" xfId="0" applyAlignment="1" applyBorder="1" applyFill="1" applyFont="1">
      <alignment horizontal="left" shrinkToFit="0" vertical="center" wrapText="0"/>
    </xf>
    <xf borderId="5" fillId="2" fontId="1" numFmtId="0" xfId="0" applyAlignment="1" applyBorder="1" applyFill="1" applyFont="1">
      <alignment horizontal="center" shrinkToFit="0" vertical="center" wrapText="0"/>
    </xf>
    <xf borderId="5" fillId="2" fontId="1" numFmtId="0" xfId="0" applyAlignment="1" applyBorder="1" applyFill="1" applyFont="1">
      <alignment horizontal="center" readingOrder="0" shrinkToFit="0" vertical="center" wrapText="0"/>
    </xf>
    <xf borderId="0" fillId="0" fontId="8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otação Phone Boot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6597c85a-185a-4ac0-a911-d2059254c12b}">
    <Anchor>
      <Comment id="{6e216fa2-abf0-49b9-8319-51ae58203b16}"/>
    </Anchor>
    <History>
      <Event time="2026-08-05T15:23:43.00" id="{8c9add1d-0db6-4778-b74b-9e155f1ac6fd}">
        <Attribution userId="placeholder@email.com" userName="Emanuela Araujo" userProvider="google-sheets"/>
        <Anchor>
          <Comment id="{6e216fa2-abf0-49b9-8319-51ae58203b16}"/>
        </Anchor>
        <Create/>
      </Event>
      <Event time="2026-08-05T15:23:43.00" id="{d7e2bd6e-ed05-4194-8a82-459ddb568525}">
        <Attribution userId="placeholder@email.com" userName="Emanuela Araujo" userProvider="google-sheets"/>
        <Anchor>
          <Comment id="{6e216fa2-abf0-49b9-8319-51ae58203b16}"/>
        </Anchor>
        <Assign userId="nathalia.fernandes@jusfy.com.br" userName="nathalia.fernandes@jusfy.com.br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athalia.fernandes@jusfy.com.br" id="{9a8b3519-2066-4456-83b8-b9c5cf7ce873}" userId="nathalia.fernandes@jusfy.com.br" providerId="google-sheets"/>
  <x18tc:person displayName="Emanuela Araujo" id="{09adc1f6-d0ba-48fa-b648-774583c77917}" providerId="google-sheets"/>
  <x18tc:person displayName="Nathália Fernandes" id="{ed5a9b85-5a84-4ad1-acaa-d1da4e8400e5}" providerId="google-sheets"/>
</x18tc:personList>
</file>

<file path=xl/tables/table1.xml><?xml version="1.0" encoding="utf-8"?>
<table xmlns="http://schemas.openxmlformats.org/spreadsheetml/2006/main" headerRowCount="0" ref="A6:J13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tação Phone Boot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8" dT="2026-08-05T18:08:52.00" personId="{ed5a9b85-5a84-4ad1-acaa-d1da4e8400e5}" id="{d9d3f393-86cb-4dec-a8d1-9d650b1c9160}" done="1">
    <x18tc:text xml:space="preserve">72hrs uteis para ter esse valor</x18tc:text>
  </x18tc:threadedComment>
  <x18tc:threadedComment ref="A4" dT="2026-08-05T15:23:43.00" personId="{09adc1f6-d0ba-48fa-b648-774583c77917}" id="{6e216fa2-abf0-49b9-8319-51ae58203b16}" done="1">
    <x18tc:text xml:space="preserve">Aquele de ontem tá nessa lista tb, nath? @nathalia.fernandes@jusfy.com.br
Atribuído a nathalia.fernandes@jusfy.com.br</x18tc:text>
    <x18tc:mentions>
      <x18tc:mention mentionpersonId="{9a8b3519-2066-4456-83b8-b9c5cf7ce873}" mentionId="{a4d47708-3f12-4627-9aaf-17a03172d914}" startIndex="41" length="3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nathalia.fernandes@jusfy.com.br" TargetMode="External"/><Relationship Id="rId10" Type="http://schemas.openxmlformats.org/officeDocument/2006/relationships/hyperlink" Target="https://cabineparaescritorio.com.br/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lineaoffice.com.br/pm/cabine-phone-booth/" TargetMode="External"/><Relationship Id="rId9" Type="http://schemas.openxmlformats.org/officeDocument/2006/relationships/hyperlink" Target="https://dikta.com.br/moveis-para-escritorio/produtos/core-riserva-cabines-acusticas/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silentbox.com.br/silent-call-cabine-acustica-individual/" TargetMode="External"/><Relationship Id="rId6" Type="http://schemas.openxmlformats.org/officeDocument/2006/relationships/hyperlink" Target="https://miragemoveis.com.br/solucoes-acusticas/cabine-phone/" TargetMode="External"/><Relationship Id="rId7" Type="http://schemas.openxmlformats.org/officeDocument/2006/relationships/hyperlink" Target="https://mcadoffices.com.br/produto/oexp1/" TargetMode="External"/><Relationship Id="rId8" Type="http://schemas.openxmlformats.org/officeDocument/2006/relationships/hyperlink" Target="https://www.atualledesign.com.br/cabine-acustica-solo-grafite-pre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9CBA4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22.29"/>
    <col customWidth="1" min="4" max="4" width="12.0"/>
    <col customWidth="1" min="5" max="5" width="21.71"/>
    <col customWidth="1" min="6" max="6" width="24.57"/>
    <col customWidth="1" min="7" max="8" width="16.71"/>
    <col customWidth="1" min="9" max="9" width="18.14"/>
    <col customWidth="1" min="10" max="10" width="131.71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>
      <c r="A4" s="4" t="s">
        <v>2</v>
      </c>
      <c r="B4" s="3"/>
      <c r="C4" s="3"/>
      <c r="D4" s="3"/>
      <c r="E4" s="3"/>
      <c r="F4" s="3"/>
      <c r="G4" s="3"/>
      <c r="H4" s="3"/>
      <c r="I4" s="3"/>
      <c r="J4" s="3"/>
    </row>
    <row r="5" ht="30.0" customHeight="1">
      <c r="A5" s="5" t="s">
        <v>3</v>
      </c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7" t="s">
        <v>11</v>
      </c>
      <c r="J5" s="6" t="s">
        <v>12</v>
      </c>
    </row>
    <row r="6" ht="30.0" customHeight="1">
      <c r="A6" s="8" t="s">
        <v>13</v>
      </c>
      <c r="B6" s="9" t="s">
        <v>14</v>
      </c>
      <c r="C6" s="10">
        <v>7500.0</v>
      </c>
      <c r="D6" s="10">
        <v>3500.0</v>
      </c>
      <c r="E6" s="11">
        <v>0.0</v>
      </c>
      <c r="F6" s="10">
        <f t="shared" ref="F6:F12" si="1">C6+D6+E6</f>
        <v>11000</v>
      </c>
      <c r="G6" s="12" t="s">
        <v>15</v>
      </c>
      <c r="H6" s="12" t="s">
        <v>16</v>
      </c>
      <c r="I6" s="12" t="s">
        <v>16</v>
      </c>
      <c r="J6" s="13" t="s">
        <v>17</v>
      </c>
    </row>
    <row r="7" ht="30.0" customHeight="1">
      <c r="A7" s="8" t="s">
        <v>18</v>
      </c>
      <c r="B7" s="9" t="s">
        <v>19</v>
      </c>
      <c r="C7" s="10">
        <v>30964.67</v>
      </c>
      <c r="D7" s="10">
        <v>20300.0</v>
      </c>
      <c r="E7" s="10">
        <v>0.0</v>
      </c>
      <c r="F7" s="10">
        <f t="shared" si="1"/>
        <v>51264.67</v>
      </c>
      <c r="G7" s="12" t="s">
        <v>20</v>
      </c>
      <c r="H7" s="12" t="s">
        <v>21</v>
      </c>
      <c r="I7" s="12" t="s">
        <v>16</v>
      </c>
      <c r="J7" s="13" t="s">
        <v>22</v>
      </c>
    </row>
    <row r="8" ht="30.0" customHeight="1">
      <c r="A8" s="14" t="s">
        <v>23</v>
      </c>
      <c r="B8" s="15" t="s">
        <v>24</v>
      </c>
      <c r="C8" s="16">
        <v>22366.5</v>
      </c>
      <c r="D8" s="16">
        <v>6098.5</v>
      </c>
      <c r="E8" s="16">
        <v>3903.04</v>
      </c>
      <c r="F8" s="17">
        <f t="shared" si="1"/>
        <v>32368.04</v>
      </c>
      <c r="G8" s="18" t="s">
        <v>25</v>
      </c>
      <c r="H8" s="18" t="s">
        <v>16</v>
      </c>
      <c r="I8" s="18" t="s">
        <v>16</v>
      </c>
      <c r="J8" s="19" t="s">
        <v>26</v>
      </c>
    </row>
    <row r="9" ht="30.0" customHeight="1">
      <c r="A9" s="8" t="s">
        <v>27</v>
      </c>
      <c r="B9" s="9" t="s">
        <v>28</v>
      </c>
      <c r="C9" s="10">
        <v>13500.0</v>
      </c>
      <c r="D9" s="10">
        <f>ROUND(C9*0.12,2)</f>
        <v>1620</v>
      </c>
      <c r="E9" s="10">
        <f>1500+4000</f>
        <v>5500</v>
      </c>
      <c r="F9" s="10">
        <f t="shared" si="1"/>
        <v>20620</v>
      </c>
      <c r="G9" s="12" t="s">
        <v>29</v>
      </c>
      <c r="H9" s="12" t="s">
        <v>16</v>
      </c>
      <c r="I9" s="12" t="s">
        <v>16</v>
      </c>
      <c r="J9" s="13" t="s">
        <v>30</v>
      </c>
    </row>
    <row r="10">
      <c r="A10" s="20" t="s">
        <v>31</v>
      </c>
      <c r="B10" s="21" t="s">
        <v>32</v>
      </c>
      <c r="C10" s="22">
        <v>15020.49</v>
      </c>
      <c r="D10" s="22">
        <v>0.0</v>
      </c>
      <c r="E10" s="23">
        <v>2900.0</v>
      </c>
      <c r="F10" s="23">
        <f t="shared" si="1"/>
        <v>17920.49</v>
      </c>
      <c r="G10" s="24" t="s">
        <v>33</v>
      </c>
      <c r="H10" s="24" t="s">
        <v>16</v>
      </c>
      <c r="I10" s="24" t="s">
        <v>16</v>
      </c>
      <c r="J10" s="25" t="s">
        <v>34</v>
      </c>
    </row>
    <row r="11" ht="30.0" customHeight="1">
      <c r="A11" s="26" t="s">
        <v>35</v>
      </c>
      <c r="B11" s="27" t="s">
        <v>36</v>
      </c>
      <c r="C11" s="11">
        <v>16695.12</v>
      </c>
      <c r="D11" s="11">
        <v>1050.0</v>
      </c>
      <c r="E11" s="11">
        <v>840.0</v>
      </c>
      <c r="F11" s="23">
        <f t="shared" si="1"/>
        <v>18585.12</v>
      </c>
      <c r="G11" s="12" t="s">
        <v>15</v>
      </c>
      <c r="H11" s="12" t="s">
        <v>16</v>
      </c>
      <c r="I11" s="12" t="s">
        <v>16</v>
      </c>
      <c r="J11" s="13" t="s">
        <v>37</v>
      </c>
    </row>
    <row r="12">
      <c r="A12" s="28" t="s">
        <v>38</v>
      </c>
      <c r="B12" s="29" t="s">
        <v>39</v>
      </c>
      <c r="C12" s="30">
        <v>19865.77</v>
      </c>
      <c r="D12" s="30">
        <v>1418.98</v>
      </c>
      <c r="E12" s="30">
        <v>0.0</v>
      </c>
      <c r="F12" s="31">
        <f t="shared" si="1"/>
        <v>21284.75</v>
      </c>
      <c r="G12" s="32" t="s">
        <v>15</v>
      </c>
      <c r="H12" s="32" t="s">
        <v>16</v>
      </c>
      <c r="I12" s="32" t="s">
        <v>16</v>
      </c>
      <c r="J12" s="33" t="s">
        <v>40</v>
      </c>
    </row>
    <row r="13" ht="30.0" customHeight="1">
      <c r="A13" s="34"/>
      <c r="B13" s="34"/>
      <c r="C13" s="35"/>
      <c r="D13" s="35"/>
      <c r="E13" s="35"/>
      <c r="F13" s="35"/>
      <c r="G13" s="35"/>
      <c r="H13" s="36"/>
      <c r="I13" s="36"/>
      <c r="J13" s="35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/>
      <c r="B16" s="3"/>
      <c r="C16" s="37" t="s">
        <v>41</v>
      </c>
      <c r="D16" s="3"/>
      <c r="E16" s="3"/>
      <c r="F16" s="3"/>
      <c r="G16" s="3"/>
      <c r="H16" s="3"/>
      <c r="I16" s="3"/>
      <c r="J16" s="3"/>
    </row>
    <row r="17" ht="15.75" customHeight="1">
      <c r="A17" s="3"/>
      <c r="B17" s="3"/>
      <c r="C17" s="38" t="s">
        <v>42</v>
      </c>
      <c r="D17" s="3"/>
      <c r="E17" s="39" t="s">
        <v>43</v>
      </c>
      <c r="F17" s="3"/>
      <c r="G17" s="3"/>
      <c r="H17" s="3"/>
      <c r="I17" s="3"/>
      <c r="J17" s="3"/>
    </row>
    <row r="18" ht="15.75" customHeight="1">
      <c r="A18" s="3"/>
      <c r="B18" s="3"/>
      <c r="C18" s="38" t="s">
        <v>44</v>
      </c>
      <c r="D18" s="3"/>
      <c r="E18" s="39" t="s">
        <v>43</v>
      </c>
      <c r="F18" s="3"/>
      <c r="G18" s="3"/>
      <c r="H18" s="3"/>
      <c r="I18" s="3"/>
      <c r="J18" s="3"/>
    </row>
    <row r="19" ht="15.75" customHeight="1">
      <c r="A19" s="3"/>
      <c r="B19" s="3"/>
      <c r="C19" s="38" t="s">
        <v>45</v>
      </c>
      <c r="D19" s="3"/>
      <c r="E19" s="39" t="s">
        <v>46</v>
      </c>
      <c r="F19" s="3"/>
      <c r="G19" s="3"/>
      <c r="H19" s="3"/>
      <c r="I19" s="3"/>
      <c r="J19" s="3"/>
    </row>
    <row r="20" ht="15.75" customHeight="1">
      <c r="A20" s="3"/>
      <c r="B20" s="3"/>
      <c r="C20" s="38" t="s">
        <v>47</v>
      </c>
      <c r="D20" s="3"/>
      <c r="E20" s="39" t="s">
        <v>46</v>
      </c>
      <c r="F20" s="3"/>
      <c r="G20" s="3"/>
      <c r="H20" s="3"/>
      <c r="I20" s="3"/>
      <c r="J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</sheetData>
  <mergeCells count="2">
    <mergeCell ref="A1:J1"/>
    <mergeCell ref="A2:J2"/>
  </mergeCells>
  <hyperlinks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C16"/>
  </hyperlinks>
  <printOptions/>
  <pageMargins bottom="1.0" footer="0.0" header="0.0" left="0.75" right="0.75" top="1.0"/>
  <pageSetup paperSize="9" orientation="portrait"/>
  <drawing r:id="rId12"/>
  <legacyDrawing r:id="rId13"/>
  <tableParts count="1">
    <tablePart r:id="rId15"/>
  </tableParts>
</worksheet>
</file>