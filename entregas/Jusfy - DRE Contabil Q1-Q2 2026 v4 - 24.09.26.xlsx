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8" name="Resumo" state="visible" r:id="rId4"/>
    <sheet sheetId="9" name="O QUE FAZER" state="visible" r:id="rId5"/>
    <sheet sheetId="10" name="Onde a Syhus erra" state="visible" r:id="rId6"/>
    <sheet sheetId="7" name="DRE Consolidado" state="visible" r:id="rId7"/>
    <sheet sheetId="1" name="Jan" state="visible" r:id="rId8"/>
    <sheet sheetId="2" name="Fev" state="visible" r:id="rId9"/>
    <sheet sheetId="3" name="Mar" state="visible" r:id="rId10"/>
    <sheet sheetId="4" name="Abr" state="visible" r:id="rId11"/>
    <sheet sheetId="5" name="Mai" state="visible" r:id="rId12"/>
    <sheet sheetId="6" name="Jun" state="visible" r:id="rId13"/>
    <sheet sheetId="11" name="Notas e pendências" state="visible" r:id="rId14"/>
    <sheet sheetId="12" name="Validar Tesouraria" state="visible" r:id="rId15"/>
    <sheet sheetId="13" name="Pedir NF à Syhus" state="visible" r:id="rId16"/>
  </sheets>
  <calcPr calcId="171027" fullCalcOnLoad="1"/>
</workbook>
</file>

<file path=xl/sharedStrings.xml><?xml version="1.0" encoding="utf-8"?>
<sst xmlns="http://schemas.openxmlformats.org/spreadsheetml/2006/main" count="14627" uniqueCount="2207">
  <si>
    <t>JUSFY — DRE contábil × gerencial · Janeiro a Junho 2026</t>
  </si>
  <si>
    <t>Três degraus, por mês: (1) como está hoje; (2) depois dos 138 lançamentos da Syhus (aba O QUE FAZER) — a única nota explicativa é a competência 2025, que fica em 2026 porque o exercício de 2025 já fechou; (3) depois das pendências que dependem de resposta da Jusfy (aba Notas e pendências). Meta: até 0,5%.</t>
  </si>
  <si>
    <t>CUSTO (contas 6.2)</t>
  </si>
  <si>
    <t/>
  </si>
  <si>
    <t>Jan</t>
  </si>
  <si>
    <t>Fev</t>
  </si>
  <si>
    <t>Mar</t>
  </si>
  <si>
    <t>Abr</t>
  </si>
  <si>
    <t>Mai</t>
  </si>
  <si>
    <t>Jun</t>
  </si>
  <si>
    <t>Total</t>
  </si>
  <si>
    <t>Gerencial (P&amp;L oficial)</t>
  </si>
  <si>
    <t>Razão como está hoje</t>
  </si>
  <si>
    <t>(−) Competência 2025 lançada em 2026 — NOTA EXPLICATIVA (exercício encerrado, fica em 2026)</t>
  </si>
  <si>
    <t>1) Diferença HOJE</t>
  </si>
  <si>
    <t xml:space="preserve">    % sobre o gerencial</t>
  </si>
  <si>
    <t>(+) Lançamentos da Syhus (aba O QUE FAZER)</t>
  </si>
  <si>
    <t>2) Diferença DEPOIS DA SYHUS</t>
  </si>
  <si>
    <t>(−) Google Ads: razão = base da Mari (ERP); o P&amp;L está diferente — ajustar o P&amp;L</t>
  </si>
  <si>
    <t>(−) NF que não está na base da Mari — tesouraria valida (aba Validar Tesouraria)</t>
  </si>
  <si>
    <t>(−) Lançamento sem nº de NF e fora do ERP — pedir a nota à Syhus (aba Pedir NF à Syhus)</t>
  </si>
  <si>
    <t>(−) Imposto retido: razão pelo valor bruto da NF, ERP/P&amp;L pelo líquido pago</t>
  </si>
  <si>
    <t>(−) NF está no ERP em outro mês, e esse mês já tem a dele — possível NF em dobro</t>
  </si>
  <si>
    <t>(−) NF está no ERP no mesmo mês, mas o P&amp;L tem menos — Nathalia classifica</t>
  </si>
  <si>
    <t>(−) Pendência Jusfy: fornecedor do razão que não está no P&amp;L</t>
  </si>
  <si>
    <t>(−) Pendência Jusfy: linha agregada do P&amp;L (Hotels, Taxi…) sem fornecedor no razão</t>
  </si>
  <si>
    <t>(−) Pendência Jusfy: folha — painel de pessoas × cadastro/ERP</t>
  </si>
  <si>
    <t>3) Diferença DEPOIS DAS PENDÊNCIAS DA JUSFY</t>
  </si>
  <si>
    <t>DESPESA (contas 4.1)</t>
  </si>
  <si>
    <t>TOTAL (custo + despesa)</t>
  </si>
  <si>
    <t>O QUE FAZER — 138 lançamentos (é só isso)</t>
  </si>
  <si>
    <t>Todos os erros claros (lançamento em dobro, provisão que nunca foi baixada, MDR da Pagar.me) mais o mínimo que falta pra custo, despesa e total ficarem dentro de 0,5% do gerencial (depois das pendências da Jusfy). Cada linha é um fornecedor, com o nome como está no razão, débito, crédito, NF e a prova. Provisão e baixa do mesmo fornecedor andam juntas. Coluna "Status" é pra Syhus marcar.</t>
  </si>
  <si>
    <t>Nº</t>
  </si>
  <si>
    <t>Mês</t>
  </si>
  <si>
    <t>Fornecedor (razão)</t>
  </si>
  <si>
    <t>O que fazer</t>
  </si>
  <si>
    <t>Débito</t>
  </si>
  <si>
    <t>Crédito</t>
  </si>
  <si>
    <t>Valor</t>
  </si>
  <si>
    <t>NF</t>
  </si>
  <si>
    <t>Por quê (a prova)</t>
  </si>
  <si>
    <t>Status Syhus</t>
  </si>
  <si>
    <t>DELAINE ILHA DA SILVA 02466060027</t>
  </si>
  <si>
    <t>Excluir — lançado em dobro</t>
  </si>
  <si>
    <t>342 - Cartão de Crédito - Kamino</t>
  </si>
  <si>
    <t>4.1.8.09.002 - Confraternização</t>
  </si>
  <si>
    <t>—</t>
  </si>
  <si>
    <t>Mesmo valor (R$ 267) lançado duas vezes em Jan: a NF 64654684 já está lançada e o pagamento no cartão do mesmo valor também foi lançado como despesa. Excluir o lançamento do cartão.</t>
  </si>
  <si>
    <t>LUCAS ARAUJO SANTOS CONSULTORIA E DESENVOLVIMENTO EM TECNOLOGIA DA INFORMAC</t>
  </si>
  <si>
    <t>Estornar provisão que nunca foi baixada</t>
  </si>
  <si>
    <t>930 - Provisão de Fornecedores</t>
  </si>
  <si>
    <t>6.2.1.01.001 - Custos com Serviços de Terceiros - Internos</t>
  </si>
  <si>
    <t>Provisão de Jan (R$ 49.296) nunca foi revertida e a NF 17 do mesmo valor entrou em Jan. Estornar a provisão em Jan.</t>
  </si>
  <si>
    <t>ALEXANDER MAX YOKOGAWA CONSULTORIA EM TECNOLOGIA DA INFORMACAO LTDA</t>
  </si>
  <si>
    <t>Provisão de Jan (R$ 31.667) nunca foi revertida. Não há NF desse valor no semestre: estornar.</t>
  </si>
  <si>
    <t>AVA TREINAMENTOS E MENTORIAS LTDA</t>
  </si>
  <si>
    <t>4.1.3.01.005 - Influenciadores</t>
  </si>
  <si>
    <t>Provisão de Jan (R$ 20.000) nunca foi revertida e a NF 10490 do mesmo valor entrou em Jan. Estornar a provisão em Jan.</t>
  </si>
  <si>
    <t>MONTANDON SARAIVA SERVICOS ADMINISTRATIVOS LTDA</t>
  </si>
  <si>
    <t>Provisão de Jan (R$ 5.000) nunca foi revertida e a NF 1 do mesmo valor entrou em Jan. Estornar a provisão em Jan.</t>
  </si>
  <si>
    <t>35.376.951 ALBERTO PEREIRA LOPES DA SILVA JUNIOR</t>
  </si>
  <si>
    <t>Provisão de Jan (R$ 2.000) nunca foi revertida. Não há NF desse valor no semestre: estornar.</t>
  </si>
  <si>
    <t>TRETAS JURIDICAS CURSOS E TREINAMENTOS LTDA</t>
  </si>
  <si>
    <t>Provisão de Jan (R$ 1.000) nunca foi revertida e a NF 1 do mesmo valor entrou em Jan. Estornar a provisão em Jan.</t>
  </si>
  <si>
    <t>52.406.739 BEATRIZ FONSECA SALES</t>
  </si>
  <si>
    <t>Provisão de Jan (R$ 900) nunca foi revertida e a NF 9 do mesmo valor entrou em Jan. Estornar a provisão em Jan.</t>
  </si>
  <si>
    <t>MATHEUS JOSE SANTOS DUARTE SOCIEDADE INDIVIDUAL DE ADVOCACIA</t>
  </si>
  <si>
    <t>Provisão de Jan (R$ 800) nunca foi revertida e a NF 88 do mesmo valor entrou em Jan. Estornar a provisão em Jan.</t>
  </si>
  <si>
    <t>ZACHARIAS VIEIRA SOCIEDADE INDIVIDUAL DE ADVOCACIA</t>
  </si>
  <si>
    <t>Provisão de Jan (R$ 700) nunca foi revertida e a NF 16 do mesmo valor entrou em Jan. Estornar a provisão em Jan.</t>
  </si>
  <si>
    <t>AVA BRASIL EDUCACAO E TECNOLOGIA LTDA</t>
  </si>
  <si>
    <t>Provisão de Jan (R$ 582) nunca foi revertida e a NF 77389 do mesmo valor entrou em Jan. Estornar a provisão em Jan.</t>
  </si>
  <si>
    <t>BEYAUT LTDA</t>
  </si>
  <si>
    <t>Trocar de conta</t>
  </si>
  <si>
    <t>4.1.6.01.007 - Serviços de Terceiros - Internos</t>
  </si>
  <si>
    <t>2, 3</t>
  </si>
  <si>
    <t>PJ da área Engenharia (Cadastro). No P&amp;L oficial, só a folha de Engenharia é custo; as demais áreas são despesa. Está na conta 4.1.6.01.007. Mover para 6.2.1.01.001.</t>
  </si>
  <si>
    <t>BLUE ENGENHARIA EM SOFTWARE LTDA</t>
  </si>
  <si>
    <t>1, 2</t>
  </si>
  <si>
    <t>IVAN P. DOS SANTOS LTDA</t>
  </si>
  <si>
    <t>47</t>
  </si>
  <si>
    <t>AMAZON AWS SERVICOS BRASIL LTDA</t>
  </si>
  <si>
    <t>Provisionar no mês certo</t>
  </si>
  <si>
    <t>6.2.1.03.001 - Custo de Hospedagem e Infraestrutura (Cloud)</t>
  </si>
  <si>
    <t>A NF de R$ 95.556 é de Jan (valor igual ao gerencial de Jan) mas só entrou em Fev, e Jan ficou sem provisão. Provisionar em Jan. (Faz par com o lançamento nº 38.)</t>
  </si>
  <si>
    <t>GABRIELA BORCA SERVICOS DE APOIO ADMINISTRATIVO LTDA</t>
  </si>
  <si>
    <t>24</t>
  </si>
  <si>
    <t>A NF 24 de R$ 35.000 é de Jan (valor igual ao gerencial de Jan) mas só entrou em Abr, e Jan ficou sem provisão. Provisionar em Jan. (Faz par com o lançamento nº 74.)</t>
  </si>
  <si>
    <t>JULIANO LIMA DA SILVA LTDA</t>
  </si>
  <si>
    <t>O P&amp;L de janeiro tem R$ 30.000 deste fornecedor e o razão não tem a NF desse mês. Provisionar pelo valor do P&amp;L; quando a NF chegar, baixar a provisão.</t>
  </si>
  <si>
    <t>CAPI CANDIA CURSOS LTDA</t>
  </si>
  <si>
    <t>O P&amp;L de janeiro tem R$ 24.697 deste fornecedor e o razão não tem a NF desse mês. Provisionar pelo valor do P&amp;L; quando a NF chegar, baixar a provisão.</t>
  </si>
  <si>
    <t>PPRO MICROSOFT</t>
  </si>
  <si>
    <t>4.1.2.01.003 - Licença de Sofware e Sistemas (SaaS)</t>
  </si>
  <si>
    <t>O P&amp;L de janeiro tem R$ 19.757 deste fornecedor e o razão não tem a NF desse mês. Provisionar pelo valor do P&amp;L; quando a NF chegar, baixar a provisão.</t>
  </si>
  <si>
    <t>WINGIFY</t>
  </si>
  <si>
    <t>O P&amp;L de janeiro tem R$ 13.066 deste fornecedor e o razão não tem a NF desse mês. Provisionar pelo valor do P&amp;L; quando a NF chegar, baixar a provisão.</t>
  </si>
  <si>
    <t>NOTION LABS, INC.</t>
  </si>
  <si>
    <t>O P&amp;L de janeiro tem R$ 3.314 deste fornecedor e o razão não tem a NF desse mês. Provisionar pelo valor do P&amp;L; quando a NF chegar, baixar a provisão.</t>
  </si>
  <si>
    <t>OMIEXPERIENCE LTDA.</t>
  </si>
  <si>
    <t>O P&amp;L de janeiro tem R$ 2.824 deste fornecedor e o razão não tem a NF desse mês. Provisionar pelo valor do P&amp;L; quando a NF chegar, baixar a provisão.</t>
  </si>
  <si>
    <t>NT - 001/001 - GODADDY BRASIL</t>
  </si>
  <si>
    <t>O P&amp;L de janeiro tem R$ 2.613 deste fornecedor e o razão não tem a NF desse mês. Provisionar pelo valor do P&amp;L; quando a NF chegar, baixar a provisão.</t>
  </si>
  <si>
    <t>PAGAR.ME INSTITUICAO DE PAGAMENTO S.A</t>
  </si>
  <si>
    <t>Lançar o MDR da Pagar.me (retido no repasse)</t>
  </si>
  <si>
    <t>6.2.1.01.003 - Custos com Transações</t>
  </si>
  <si>
    <t>Pagar.me — valores a receber (conta do repasse)</t>
  </si>
  <si>
    <t>O P&amp;L tem a taxa cheia da Pagar.me (Payment Processing Fees) e o razão só as NFs de serviço: o MDR retido no repasse (R$ 60.196 no mês) não foi lançado. Lançar pelo extrato de liquidação da Pagar.me.</t>
  </si>
  <si>
    <t>VILA VENTURA HOTEIS LTDA</t>
  </si>
  <si>
    <t>42 - Adiantamentos a Fornecedores</t>
  </si>
  <si>
    <t>Linha de R$ 40.000 "conforme fornecedor Vila Ventura" (Confraternização) é adiantamento lançado como despesa: a NF 872 já cobre o evento. Baixar o adiantamento contra o fornecedor, não contra despesa. (Confirmado pela Controladoria: R$40k pagos em 2025 + R$40k de adiantamento em jan com NF emitida em fev.)</t>
  </si>
  <si>
    <t>750 - AVA TREINAMENTOS E MENTORIAS LTDA</t>
  </si>
  <si>
    <t>13, 458</t>
  </si>
  <si>
    <t>Duas NFs de R$ 20.000 em Fev (458 e 13). O fornecedor cobra uma NF de R$ 20.000 por mês e nenhum outro mês de 2026 está sem a sua NF. Excluir a NF 13 (lançada em dobro).</t>
  </si>
  <si>
    <t>RAFAEL CANDIA JOSE</t>
  </si>
  <si>
    <t>23</t>
  </si>
  <si>
    <t>Provisão de Fev (R$ 25.000) nunca foi revertida e a NF 24 do mesmo valor entrou em Fev. Estornar a provisão em Fev.</t>
  </si>
  <si>
    <t>ZAPPA PERSONALIZADOS</t>
  </si>
  <si>
    <t>4.1.8.09.001 - Brindes</t>
  </si>
  <si>
    <t>563</t>
  </si>
  <si>
    <t>Provisão de Fev (R$ 1.467,02) nunca foi revertida. Não há NF desse valor no semestre: estornar.</t>
  </si>
  <si>
    <t>JUDIT TECNOLOGIA DA INFORMACAO LTDA</t>
  </si>
  <si>
    <t>6.2.1.03.003 - Custo de APIs de Terceiros</t>
  </si>
  <si>
    <t>4.1.2.05.011 - Mera importação</t>
  </si>
  <si>
    <t>666</t>
  </si>
  <si>
    <t>No P&amp;L este fornecedor está em Legal Data Enrichment Services. Está na conta 4.1.2.05.011 (Mera importação, conta de passagem). Mover para 6.2.1.03.003.</t>
  </si>
  <si>
    <t>L. A. B. CAMPOS LTDA</t>
  </si>
  <si>
    <t>5</t>
  </si>
  <si>
    <t>DKSWEB DESENVOLVIMENTO DE SOFTWARE LTDA</t>
  </si>
  <si>
    <t>2</t>
  </si>
  <si>
    <t>PJ da área Engenharia (Cadastro). No P&amp;L oficial, só a folha de Engenharia é custo; as demais áreas são despesa. Está na conta 4.1.2.05.011 (Mera importação, conta de passagem). Mover para 6.2.1.01.001.</t>
  </si>
  <si>
    <t>BIG DATA SOLUCOES EM TECNOLOGIA DE INFORMATICA S.A.</t>
  </si>
  <si>
    <t>4.1.6.01.002 - Serviços de Consultoria</t>
  </si>
  <si>
    <t>1058</t>
  </si>
  <si>
    <t>No P&amp;L este fornecedor está em Legal Data Enrichment Services. Está na conta 4.1.6.01.002. Mover para 6.2.1.03.003.</t>
  </si>
  <si>
    <t>4</t>
  </si>
  <si>
    <t>LACERDA GUILHERME CONSULTORIA EM TECNOLOGIA DA INFORMACAO LTDA</t>
  </si>
  <si>
    <t>9</t>
  </si>
  <si>
    <t>THIAGO AUGUSTO DE OLIVEIRA TECNOLOGIA DA INFORMACAO LTDA</t>
  </si>
  <si>
    <t>3</t>
  </si>
  <si>
    <t>DOUGLAS LIMA MACHADO 02831827094</t>
  </si>
  <si>
    <t>43</t>
  </si>
  <si>
    <t>Baixar a provisão (a NF chegou)</t>
  </si>
  <si>
    <t>Baixar em Fev a provisão de Jan contra a NF. (Faz par com o lançamento nº 15.)</t>
  </si>
  <si>
    <t>5394545</t>
  </si>
  <si>
    <t>A NF 5394545 de R$ 88.274 é de Fev (valor igual ao gerencial de Fev) mas só entrou em Mar, e Fev ficou sem provisão. Provisionar em Fev. (Faz par com o lançamento nº 55.)</t>
  </si>
  <si>
    <t>IFOOD BENEFICIOS E SERVICOS LTDA.</t>
  </si>
  <si>
    <t>4.1.6.02.002 - Auxílio Ifood</t>
  </si>
  <si>
    <t>O P&amp;L de fevereiro tem R$ 23.711 deste fornecedor e o razão não tem a NF desse mês. Provisionar pelo valor do P&amp;L; quando a NF chegar, baixar a provisão.</t>
  </si>
  <si>
    <t>JOINVIXBRASIL SERVICOS DE INTERNET LTDA</t>
  </si>
  <si>
    <t>O P&amp;L de fevereiro tem R$ 10.001 deste fornecedor e o razão não tem a NF desse mês. Provisionar pelo valor do P&amp;L; quando a NF chegar, baixar a provisão.</t>
  </si>
  <si>
    <t>GOL LINHAS AEREAS INTELIGENTES S.A.</t>
  </si>
  <si>
    <t>4.1.2.04.001 - Passagens Aereas e Rodoviárias</t>
  </si>
  <si>
    <t>FATURA</t>
  </si>
  <si>
    <t>A fatura do cartão de R$ 3.049,50 foi lançada em Abr, mas é de Fev (GOL LINHAS AEREAS INTELIGENTES S.A., competência Fev no ERP). Provisionar em Fev. (Faz par com o lançamento nº 75.)</t>
  </si>
  <si>
    <t>GOL LINHAS AEREAS</t>
  </si>
  <si>
    <t>A lançamento sem nº de R$ 609,08 foi lançada em Abr, mas é de Fev (GOL LINHAS AEREAS, competência Fev no ERP). Provisionar em Fev. (Faz par com o lançamento nº 76.)</t>
  </si>
  <si>
    <t>O P&amp;L tem a taxa cheia da Pagar.me (Payment Processing Fees) e o razão só as NFs de serviço: o MDR retido no repasse (R$ 55.288 no mês) não foi lançado. Lançar pelo extrato de liquidação da Pagar.me.</t>
  </si>
  <si>
    <t>60.256.513 RODRIGO DA SILVA TRINDADE</t>
  </si>
  <si>
    <t>440 - 60.256.513 RODRIGO DA SILVA TRINDADE</t>
  </si>
  <si>
    <t>16, 15</t>
  </si>
  <si>
    <t>NF 16 (R$ 6.525, Mar) repete o valor da NF 15 (Mar), que já cobre o gerencial de Fev. O ERP não tem outro pagamento desse valor: excluir a NF 16 (lançada em dobro).</t>
  </si>
  <si>
    <t>CLOUD HUMANS TECNOLOGIA LTDA.</t>
  </si>
  <si>
    <t>19 - Banco Omie.Cash</t>
  </si>
  <si>
    <t>11998</t>
  </si>
  <si>
    <t>O pagamento de Mar (banco, R$ 5.400) cita a NF 11998, que já está lançada como despesa em Mar. Pagamento não é despesa: excluir a linha do pagamento (baixar contra fornecedores).</t>
  </si>
  <si>
    <t>GUIA DA ALMA LTDA</t>
  </si>
  <si>
    <t>693 - GUIA DA ALMA LTDA</t>
  </si>
  <si>
    <t>4.1.6.02.006 - Beneficio Psicológico</t>
  </si>
  <si>
    <t>1107, 972</t>
  </si>
  <si>
    <t>NF 1107 (R$ 1.797, Mar) repete o valor da NF 972 (Mar), que já cobre o gerencial de Mar. O gerencial não tem outro mês com esse valor: excluir a NF 1107 (lançada em dobro).</t>
  </si>
  <si>
    <t>4.1.3.01.005 - INFLUENCIADORES MATHEUS JOSE SANTOS DUARTE SOCIEDADE INDIVIDUAL DE ADVOCACIA BOLETO PIX.20260310.100040 - TRANSFERENCIA VIA PIX ENVIADA NO DIA 10/03/2026 PARA: MATHEUS JOSE SANTOS DUARTE SOCIEDADE INDIVIDUAL DE ADVOCACIA (43.690.675/0001-12) INST</t>
  </si>
  <si>
    <t>Mesmo valor (R$ 800) lançado duas vezes em Mar: a NF 93 já está lançada e o pagamento pelo banco do mesmo valor também foi lançado como despesa. Excluir o lançamento do banco.</t>
  </si>
  <si>
    <t>4.1.3.01.005 - INFLUENCIADORES MATHEUS JOSE SANTOS DUARTE SOCIEDADE INDIVIDUAL DE ADVOCACIA BOLETO PIX.20260310.110010 - TRANSFERENCIA VIA PIX ENVIADA NO DIA 10/03/2026 PARA: MATHEUS JOSE SANTOS DUARTE SOCIEDADE INDIVIDUAL DE ADVOCACIA (43.690.675/0001-12) INST</t>
  </si>
  <si>
    <t>6</t>
  </si>
  <si>
    <t>1799</t>
  </si>
  <si>
    <t>12</t>
  </si>
  <si>
    <t>Baixar em Mar a provisão de Fev contra a NF 5394545. (Faz par com o lançamento nº 39.)</t>
  </si>
  <si>
    <t>944279429428</t>
  </si>
  <si>
    <t>A NF 944279429428 de R$ 107.383 é de Mar (valor igual ao gerencial de Mar) mas só entrou em Abr, e Mar ficou sem provisão. Provisionar em Mar. (Faz par com o lançamento nº 71.)</t>
  </si>
  <si>
    <t>NOVA DD POSITIVO REPRESENTACOES LTDA.</t>
  </si>
  <si>
    <t>R$ 75.911 de Mar foram lançados em Abr. Provisionar em Mar. (Faz par com o lançamento nº 72.)</t>
  </si>
  <si>
    <t>MICROSOFT DO BRASIL IMPORTACAO E COMERCIO DE SOFTWARE E VIDEO GAMES LTDA</t>
  </si>
  <si>
    <t>4.1.3.01.006 - Microsoft Ads</t>
  </si>
  <si>
    <t>O P&amp;L de março tem R$ 49.132 deste fornecedor e o razão não tem a NF desse mês. Provisionar pelo valor do P&amp;L; quando a NF chegar, baixar a provisão.</t>
  </si>
  <si>
    <t>LAB E GESTAO E SOLUCOES EMPRESARIAIS LTDA</t>
  </si>
  <si>
    <t>A NF 2 de R$ 45.000 é de Mar (valor igual ao gerencial de Mar) mas só entrou em Abr, e Mar ficou sem provisão. Provisionar em Mar. (Faz par com o lançamento nº 73.)</t>
  </si>
  <si>
    <t>TWILIO SEGMENT</t>
  </si>
  <si>
    <t>6.2.1.03.002 - Custo de Licença de Sofware e Sistemas</t>
  </si>
  <si>
    <t>A fatura do cartão de R$ 4.782,25 foi lançada em Mai, mas é de Mar (TWILIO SEGMENT, competência Mar no ERP). Provisionar em Mar. (Faz par com o lançamento nº 105.)</t>
  </si>
  <si>
    <t>SLACK</t>
  </si>
  <si>
    <t>A fatura do cartão de R$ 2.281,16 foi lançada em Mai, mas é de Mar (SLACK, competência Mar no ERP). Provisionar em Mar. (Faz par com o lançamento nº 106.)</t>
  </si>
  <si>
    <t>O P&amp;L tem a taxa cheia da Pagar.me (Payment Processing Fees) e o razão só as NFs de serviço: o MDR retido no repasse (R$ 65.260 no mês) não foi lançado. Lançar pelo extrato de liquidação da Pagar.me.</t>
  </si>
  <si>
    <t>PJ da área Receita (Cadastro). No P&amp;L oficial, só a folha de Engenharia é custo; as demais áreas são despesa. Está na conta 6.2.1.01.001. Mover para 4.1.6.01.007.</t>
  </si>
  <si>
    <t>7</t>
  </si>
  <si>
    <t>3410</t>
  </si>
  <si>
    <t>50</t>
  </si>
  <si>
    <t>BATISTA SOLUCOES EM TECNOLOGIA LTDA</t>
  </si>
  <si>
    <t>55</t>
  </si>
  <si>
    <t>DATACUBE SERVICO DE INFORMACAO VIA WEB LTDA</t>
  </si>
  <si>
    <t>65163</t>
  </si>
  <si>
    <t>Baixar em Abr a provisão de Mar contra a NF 944279429428. (Faz par com o lançamento nº 56.)</t>
  </si>
  <si>
    <t>Baixar em Abr a provisão de Mar (R$ 75.911). (Faz par com o lançamento nº 57.)</t>
  </si>
  <si>
    <t>Baixar em Abr a provisão de Mar contra a NF 2. (Faz par com o lançamento nº 59.)</t>
  </si>
  <si>
    <t>Baixar em Abr a provisão de Jan contra a NF 24. (Faz par com o lançamento nº 16.)</t>
  </si>
  <si>
    <t>Baixar em Abr a provisão de Fev: a fatura do cartão de R$ 3.049,50 lançada aqui é de Fev (GOL LINHAS AEREAS INTELIGENTES S.A., competência Fev no ERP). (Faz par com o lançamento nº 42.)</t>
  </si>
  <si>
    <t>Baixar em Abr a provisão de Fev: a lançamento sem nº de R$ 609,08 lançada aqui é de Fev (GOL LINHAS AEREAS, competência Fev no ERP). (Faz par com o lançamento nº 43.)</t>
  </si>
  <si>
    <t>5664775</t>
  </si>
  <si>
    <t>A NF 5664775 de R$ 106.080 é de Abr (valor igual ao gerencial de Abr) mas só entrou em Mai, e Abr ficou sem provisão. Provisionar em Abr. (Faz par com o lançamento nº 104.)</t>
  </si>
  <si>
    <t>O P&amp;L de abril tem R$ 31.278 deste fornecedor e o razão não tem a NF desse mês. Provisionar pelo valor do P&amp;L; quando a NF chegar, baixar a provisão.</t>
  </si>
  <si>
    <t>O P&amp;L tem a taxa cheia da Pagar.me (Payment Processing Fees) e o razão só as NFs de serviço: o MDR retido no repasse (R$ 64.434 no mês) não foi lançado. Lançar pelo extrato de liquidação da Pagar.me.</t>
  </si>
  <si>
    <t>TREBLE.AI</t>
  </si>
  <si>
    <t>805 - TREBLE.AI DO BRASIL SERVICOS DIGITAIS LTDA.</t>
  </si>
  <si>
    <t>2026000000293, A56C7F5E0015, A56C7F5E0016</t>
  </si>
  <si>
    <t>NF 2026000000293 (R$ 112.665,36) lançada em Mai repete a soma de 3 cobranças já lançadas: Jan R$ 15.827,53 + Mar R$ 39.421,2 (A56C7F5E0015) + Mai R$ 57.416,63 (A56C7F5E0016). Excluir a NF 2026000000293.</t>
  </si>
  <si>
    <t>TREBLE.AI DO BRASIL SERVICOS DIGITAIS LTDA.</t>
  </si>
  <si>
    <t>2026000000291, A56C7F5E0017</t>
  </si>
  <si>
    <t>NF 2026000000291 (R$ 56.613,97) lançada em Mai repete uma cobrança já lançadas: Mai R$ 56.613,97 (A56C7F5E0017). Excluir a NF 2026000000291.</t>
  </si>
  <si>
    <t>BIANCA DA SILVEIRA LESSA LTDA</t>
  </si>
  <si>
    <t>Provisão de Mai (R$ 13.500) nunca foi revertida. Não há NF desse valor no semestre: estornar.</t>
  </si>
  <si>
    <t>M SANTOS LEAL SISTEMAS</t>
  </si>
  <si>
    <t>Provisão de Mai (R$ 7.200) nunca foi revertida. Não há NF desse valor no semestre: estornar.</t>
  </si>
  <si>
    <t>Kauan Portela</t>
  </si>
  <si>
    <t>20257</t>
  </si>
  <si>
    <t>Provisão de Mai (R$ 6.906) nunca foi revertida. Não há NF desse valor no semestre: estornar.</t>
  </si>
  <si>
    <t>50.842.614 BRUNA MAGALHAES BARBOSA</t>
  </si>
  <si>
    <t>Provisão de Mai (R$ 5.932,5) nunca foi revertida. Não há NF desse valor no semestre: estornar.</t>
  </si>
  <si>
    <t>MARINA MULLER 01214569005</t>
  </si>
  <si>
    <t>Provisão de Mai (R$ 5.775) nunca foi revertida. Não há NF desse valor no semestre: estornar.</t>
  </si>
  <si>
    <t>53.818.855 ANNA FLAVIA DE LUCA MAINARDES</t>
  </si>
  <si>
    <t>Provisão de Mai (R$ 4.840) nunca foi revertida. Não há NF desse valor no semestre: estornar.</t>
  </si>
  <si>
    <t>Diego Alves</t>
  </si>
  <si>
    <t>Provisão de Mai (R$ 3.780) nunca foi revertida. Não há NF desse valor no semestre: estornar.</t>
  </si>
  <si>
    <t>Provisão p/ Contingências - TJAM – Elias Silva de Oliveira</t>
  </si>
  <si>
    <t>4.1.8.09.005 - Despesa com Contingências</t>
  </si>
  <si>
    <t>Provisão de Mai (R$ 3.000) nunca foi revertida. Não há NF desse valor no semestre: estornar.</t>
  </si>
  <si>
    <t>Provisão p/ Contingências - TJMT – Joeli Mariane Castelli</t>
  </si>
  <si>
    <t>Provisão p/ Contingências - TJGO – Kellen Silva Fernandes</t>
  </si>
  <si>
    <t>Provisão p/ Contingências - TJRJ – Filipe Mandiba</t>
  </si>
  <si>
    <t>Provisão de Mai (R$ 2.500) nunca foi revertida. Não há NF desse valor no semestre: estornar.</t>
  </si>
  <si>
    <t>Provisão p/ Contingências -TJBA – Carolina</t>
  </si>
  <si>
    <t>Provisão de Mai (R$ 2.000) nunca foi revertida. Não há NF desse valor no semestre: estornar.</t>
  </si>
  <si>
    <t>Provisão p/ Contingências - TJRJ – Clarissa Dias da Silva Ferreira</t>
  </si>
  <si>
    <t>Provisão de Mai (R$ 1.555) nunca foi revertida. Não há NF desse valor no semestre: estornar.</t>
  </si>
  <si>
    <t>Provisão p/ Contingências - TJRJ – Eraldo Santos de Moraes</t>
  </si>
  <si>
    <t>Provisão de Mai (R$ 1.237,8) nunca foi revertida. Não há NF desse valor no semestre: estornar.</t>
  </si>
  <si>
    <t>Provisão p/ Contingências - TJSP – Felipe Renato Rodrigues Cabral</t>
  </si>
  <si>
    <t>Provisão de Mai (R$ 1.141,54) nunca foi revertida. Não há NF desse valor no semestre: estornar.</t>
  </si>
  <si>
    <t>EDUARDO MERLO SOCIEDADE INDIVIDUAL DE ADVOCACIA</t>
  </si>
  <si>
    <t>4.1.6.01.003 - Serviços Jurídicos</t>
  </si>
  <si>
    <t>Provisão de Mai (R$ 573,4) nunca foi revertida. Não há NF desse valor no semestre: estornar.</t>
  </si>
  <si>
    <t>PAGAMENTO NF NOTA DEBITO EDUARDO MERLO</t>
  </si>
  <si>
    <t>4.1.8.09.004 - Despesa com Contingências</t>
  </si>
  <si>
    <t>NOTA</t>
  </si>
  <si>
    <t>Provisão de Mai (R$ 336,78) nunca foi revertida. Não há NF desse valor no semestre: estornar.</t>
  </si>
  <si>
    <t>PROVISÃO SEM NF - JUAN CARLO ALTMAYER STENZEL PF - #9347015</t>
  </si>
  <si>
    <t>Provisão de Mai (R$ 239,71) nunca foi revertida. Não há NF desse valor no semestre: estornar.</t>
  </si>
  <si>
    <t>15</t>
  </si>
  <si>
    <t>8</t>
  </si>
  <si>
    <t>Reverter — NF é do mês seguinte</t>
  </si>
  <si>
    <t>A56C7F5E0016</t>
  </si>
  <si>
    <t>A NF A56C7F5E0016 de R$ 57.417 foi lançada em Mai, mas é de Jun (valor igual ao gerencial de Jun). Reverter em Mai. (Faz par com o lançamento nº 130.)</t>
  </si>
  <si>
    <t>Baixar em Mai a provisão de Abr contra a NF 5664775. (Faz par com o lançamento nº 77.)</t>
  </si>
  <si>
    <t>Baixar em Mai a provisão de Mar: a fatura do cartão de R$ 4.782,25 lançada aqui é de Mar (TWILIO SEGMENT, competência Mar no ERP). (Faz par com o lançamento nº 60.)</t>
  </si>
  <si>
    <t>Baixar em Mai a provisão de Mar: a fatura do cartão de R$ 2.281,16 lançada aqui é de Mar (SLACK, competência Mar no ERP). (Faz par com o lançamento nº 61.)</t>
  </si>
  <si>
    <t>DIGESTO PESQUISA E BANCO DE DADOS LTDA</t>
  </si>
  <si>
    <t>40825</t>
  </si>
  <si>
    <t>A NF 40825 de R$ 176.092 é de Mai (valor igual ao gerencial de Mai) mas só entrou em Jun, e Mai ficou sem provisão. Provisionar em Mai. (Faz par com o lançamento nº 124.)</t>
  </si>
  <si>
    <t>944279429428 - 005/026 - AMAZON AWS SERVICOS BRASIL LTDA</t>
  </si>
  <si>
    <t>A NF de R$ 115.492 é de Mai (valor igual ao gerencial de Mai) mas só entrou em Jun, e Mai ficou sem provisão. Provisionar em Mai. (Faz par com o lançamento nº 125.)</t>
  </si>
  <si>
    <t>VIR SERVICOS DE INFORMACOES LTDA</t>
  </si>
  <si>
    <t>O P&amp;L de maio tem R$ 102.290 deste fornecedor e o razão não tem a NF desse mês. Provisionar pelo valor do P&amp;L; quando a NF chegar, baixar a provisão.</t>
  </si>
  <si>
    <t>O P&amp;L de maio tem R$ 57.418 deste fornecedor e o razão não tem a NF desse mês. Provisionar pelo valor do P&amp;L; quando a NF chegar, baixar a provisão.</t>
  </si>
  <si>
    <t>RAFAEL SACCOL BAGOLIN LTDA</t>
  </si>
  <si>
    <t>O P&amp;L de maio tem R$ 45.000 deste fornecedor e o razão não tem a NF desse mês. Provisionar pelo valor do P&amp;L; quando a NF chegar, baixar a provisão.</t>
  </si>
  <si>
    <t>1568</t>
  </si>
  <si>
    <t>A NF 1568 de R$ 38.715 é de Mai (valor igual ao gerencial de Mai) mas só entrou em Jun, e Mai ficou sem provisão. Provisionar em Mai. (Faz par com o lançamento nº 126.)</t>
  </si>
  <si>
    <t>O P&amp;L de maio tem R$ 38.315 deste fornecedor e o razão não tem a NF desse mês. Provisionar pelo valor do P&amp;L; quando a NF chegar, baixar a provisão.</t>
  </si>
  <si>
    <t>5542</t>
  </si>
  <si>
    <t>A NF 5542 de R$ 19.799 é de Mai (valor igual ao gerencial de Mai) mas só entrou em Jun, e Mai ficou sem provisão. Provisionar em Mai. (Faz par com o lançamento nº 127.)</t>
  </si>
  <si>
    <t>THIAGO OLIVEIRA DIAS TECNOLOGIA DA INFORMACAO LTDA</t>
  </si>
  <si>
    <t>O P&amp;L de maio tem R$ 8.500 deste fornecedor e o razão não tem a NF desse mês. Provisionar pelo valor do P&amp;L; quando a NF chegar, baixar a provisão.</t>
  </si>
  <si>
    <t>LUCAS ROBERTO FRANZON PASSELI 43946514847</t>
  </si>
  <si>
    <t>O P&amp;L de maio tem R$ 7.882 deste fornecedor e o razão não tem a NF desse mês. Provisionar pelo valor do P&amp;L; quando a NF chegar, baixar a provisão.</t>
  </si>
  <si>
    <t>O P&amp;L tem a taxa cheia da Pagar.me (Payment Processing Fees) e o razão só as NFs de serviço: o MDR retido no repasse (R$ 59.487 no mês) não foi lançado. Lançar pelo extrato de liquidação da Pagar.me.</t>
  </si>
  <si>
    <t>EDUARDO HENRIQUE KATSURAYAMA ABREU CONSULTORIA EM TECNOLOGIA DA INFORMACAO LTDA</t>
  </si>
  <si>
    <t>839 - EDUARDO HENRIQUE KATSURAYAMA ABREU CONSULTORIA EM TECNOLOGIA DA INFORMACAO LTDA</t>
  </si>
  <si>
    <t>15, 14</t>
  </si>
  <si>
    <t>NF 15 (R$ 9.032, Jun) repete o valor da NF 14 (Mai), que já cobre o gerencial de Mai. O ERP não tem outro pagamento desse valor: excluir a NF 15 (lançada em dobro).</t>
  </si>
  <si>
    <t>17</t>
  </si>
  <si>
    <t>SAM TECHNOLOGIES LTDA</t>
  </si>
  <si>
    <t>Baixar em Jun a provisão de Mai contra a NF 40825. (Faz par com o lançamento nº 107.)</t>
  </si>
  <si>
    <t>Baixar em Jun a provisão de Mai contra a NF. (Faz par com o lançamento nº 108.)</t>
  </si>
  <si>
    <t>Baixar em Jun a provisão de Mai contra a NF 1568. (Faz par com o lançamento nº 112.)</t>
  </si>
  <si>
    <t>Baixar em Jun a provisão de Mai contra a NF 5542. (Faz par com o lançamento nº 114.)</t>
  </si>
  <si>
    <t>O P&amp;L de junho tem R$ 165.649 deste fornecedor e o razão não tem a NF desse mês. Provisionar pelo valor do P&amp;L; quando a NF chegar, baixar a provisão (a NF de junho chega em julho: baixar em julho).</t>
  </si>
  <si>
    <t>O P&amp;L de junho tem R$ 126.682 deste fornecedor e o razão não tem a NF desse mês. Provisionar pelo valor do P&amp;L; quando a NF chegar, baixar a provisão (a NF de junho chega em julho: baixar em julho).</t>
  </si>
  <si>
    <t>Reconhecer em Jun a NF A56C7F5E0016 (R$ 57.417) revertida de Mai. (Faz par com o lançamento nº 103.)</t>
  </si>
  <si>
    <t>SWILE DO BRASIL S.A.</t>
  </si>
  <si>
    <t>4.1.6.02.004 - Bônus - Internos</t>
  </si>
  <si>
    <t>O P&amp;L de junho tem R$ 40.687 deste fornecedor e o razão não tem a NF desse mês. Provisionar pelo valor do P&amp;L; quando a NF chegar, baixar a provisão (a NF de junho chega em julho: baixar em julho).</t>
  </si>
  <si>
    <t>O P&amp;L de junho tem R$ 39.426 deste fornecedor e o razão não tem a NF desse mês. Provisionar pelo valor do P&amp;L; quando a NF chegar, baixar a provisão (a NF de junho chega em julho: baixar em julho).</t>
  </si>
  <si>
    <t>GOOGLE CLOUD BRASIL COMPUTACAO E SERVICOS DE DADOS LTDA.</t>
  </si>
  <si>
    <t>O P&amp;L de junho tem R$ 27.369 deste fornecedor e o razão não tem a NF desse mês. Provisionar pelo valor do P&amp;L; quando a NF chegar, baixar a provisão (a NF de junho chega em julho: baixar em julho).</t>
  </si>
  <si>
    <t>O P&amp;L de junho tem R$ 26.000 deste fornecedor e o razão não tem a NF desse mês. Provisionar pelo valor do P&amp;L; quando a NF chegar, baixar a provisão (a NF de junho chega em julho: baixar em julho).</t>
  </si>
  <si>
    <t>O P&amp;L de junho tem R$ 22.348 deste fornecedor e o razão não tem a NF desse mês. Provisionar pelo valor do P&amp;L; quando a NF chegar, baixar a provisão (a NF de junho chega em julho: baixar em julho).</t>
  </si>
  <si>
    <t>PAYPAL *PAYPROGLOBA</t>
  </si>
  <si>
    <t>O P&amp;L de junho tem R$ 11.089 deste fornecedor e o razão não tem a NF desse mês. Provisionar pelo valor do P&amp;L; quando a NF chegar, baixar a provisão (a NF de junho chega em julho: baixar em julho).</t>
  </si>
  <si>
    <t>ESPEJOLAB TECNOLOGIA LTDA</t>
  </si>
  <si>
    <t>NF de Jun ainda não entrou. Provisionar R$ 10.000 em Jun (baixa no mês em que a NF entrar).</t>
  </si>
  <si>
    <t>O P&amp;L tem a taxa cheia da Pagar.me (Payment Processing Fees) e o razão só as NFs de serviço: o MDR retido no repasse (R$ 57.079 no mês) não foi lançado. Lançar pelo extrato de liquidação da Pagar.me.</t>
  </si>
  <si>
    <t>TOTAL (138 lançamentos, 82 fornecedores)</t>
  </si>
  <si>
    <t>Onde a Syhus erra — e a regra pra não repetir</t>
  </si>
  <si>
    <t>Contagem no semestre inteiro (jan a jun), com todos os erros encontrados — não só os 138 lançamentos desta revisão. Seguindo estas regras daqui pra frente, a conciliação do mês fica pequena.</t>
  </si>
  <si>
    <t>Erro</t>
  </si>
  <si>
    <t>Vezes</t>
  </si>
  <si>
    <t>Exemplos (fornecedor como está no razão)</t>
  </si>
  <si>
    <t>Regra pra não errar mais</t>
  </si>
  <si>
    <t>PJ de engenharia lançado como despesa</t>
  </si>
  <si>
    <t>L. A. B. CAMPOS LTDA; LACERDA GUILHERME CONSULTORIA EM TECNOLOGIA DA INFORMACAO LTDA; DKSWEB DESENVOLVIMENTO DE SOFTWARE LTDA; BEYAUT LTDA</t>
  </si>
  <si>
    <t>Todo PJ da área de Engenharia (Cadastro) vai em 6.2.1.01.001 (custo). Produto e as demais áreas ficam em 4.1.6.01.007 (despesa) — é assim que está no P&amp;L oficial.</t>
  </si>
  <si>
    <t>Fornecedor de dados/API lançado como licença ou consultoria</t>
  </si>
  <si>
    <t>DIGESTO PESQUISA E BANCO DE DADOS LTDA; VIR SERVICOS DE INFORMACOES LTDA; CARBIGDATA TECNOLOGIA E INTELIGENCIA S/A; JUDIT TECNOLOGIA DA INFORMACAO LTDA</t>
  </si>
  <si>
    <t>Fornecedor de dados/API (Digesto, VIR, Judit, Nova DD, Big Data, Datacube, Carbigdata…) vai em 6.2.1.03.003 — Custo de APIs de Terceiros.</t>
  </si>
  <si>
    <t>"Mera importação" (4.1.2.05.011) usada como conta de passagem</t>
  </si>
  <si>
    <t>JUDIT TECNOLOGIA DA INFORMACAO LTDA; SOFIA ANY COSTA KALOUSTIAN APOIO ADMINISTRATIVO LTDA; DKSWEB DESENVOLVIMENTO DE SOFTWARE LTDA; ROCHA CASTANHA SOLUCOES LTDA</t>
  </si>
  <si>
    <t>Não deixar NF parada em 4.1.2.05.011: toda NF importada vai direto pra conta do fornecedor (a mesma dos outros meses).</t>
  </si>
  <si>
    <t>Compra de equipamento/móvel lançada como despesa</t>
  </si>
  <si>
    <t>EMESUL DECORANDOBEM MATERIAIS DE REVESTIMENTOS; DELL COMPUTADORES DO BRASIL LTDA; KABUM S.A.; PILOTO COMERCIO LTDA</t>
  </si>
  <si>
    <t>Computador, monitor, móvel e revestimento da sede são imobilizado (1.2.2.01.003), não despesa.</t>
  </si>
  <si>
    <t>Distrato (rescisão) lançado como custo</t>
  </si>
  <si>
    <t>LUCAS ARAUJO SANTOS CONSULTORIA E DESENVOLVIMENTO EM TECNOLOGIA DA INFORMAC; 50.202.927 FELIPE ALVES DA SILVA; MARCELINO RAMOS DE AVELAR DESENVOLVIMENTO DE SOFTWARES LTDA</t>
  </si>
  <si>
    <t>Distrato é sempre despesa de RH — Contract Termination (4.1.6.02.007), qualquer que seja a área da pessoa. Não vai em 6.2.1.01.001 nem junto com a NF de serviço.</t>
  </si>
  <si>
    <t>Outras trocas de conta</t>
  </si>
  <si>
    <t>MICROSOFT DO BRASIL IMPORTACAO E COMERCIO DE SOFTWARE E VIDEO GAMES LTDA; CORE PRODUCT LTDA; 22793 CONSULTORIA EM TECNOLOGIA DA INFORMACAO LTDA; Renato Sacramento Horta Moreira</t>
  </si>
  <si>
    <t>Usar sempre a conta que o fornecedor já tem nos outros meses; na dúvida, perguntar à Jusfy antes de lançar.</t>
  </si>
  <si>
    <t>MDR da Pagar.me não lançado</t>
  </si>
  <si>
    <t>Pagar.me</t>
  </si>
  <si>
    <t>Todo mês lançar a taxa cheia da Pagar.me pelo extrato de liquidação (o MDR retido no repasse), não só as NFs de serviço.</t>
  </si>
  <si>
    <t>NF lançada pela data de chegada, não pela competência</t>
  </si>
  <si>
    <t>AMAZON AWS SERVICOS BRASIL LTDA; DIGESTO PESQUISA E BANCO DE DADOS LTDA; 944279429428 - 005/026 - AMAZON AWS SERVICOS BRASIL LTDA; MICROSOFT DO BRASIL IMPORTACAO E COMERCIO DE SOFTWARE E VIDEO GAMES LTDA</t>
  </si>
  <si>
    <t>Quando a NF chega depois do mês do serviço: provisionar no mês do serviço (conta 930) e baixar a provisão quando a NF chegar.</t>
  </si>
  <si>
    <t>Mês sem a despesa do fornecedor (sem NF e sem provisão)</t>
  </si>
  <si>
    <t>Digesto Pesquisa e Banco de Dados Ltda (Jusbrasil); Amazon Cloud; Vir Servicos de Informacoes Ltda (Correct Data); Microsoft Ads</t>
  </si>
  <si>
    <t>No fechamento, conferir com a Jusfy os fornecedores recorrentes que ainda não mandaram NF e provisionar pelo valor do mês.</t>
  </si>
  <si>
    <t>Provisão que nunca foi baixada</t>
  </si>
  <si>
    <t>FACEBOOK SERVICOS ONLINE DO BRASIL LTDA.; LACERDA GUILHERME CONSULTORIA EM TECNOLOGIA DA INFORMACAO LTDA; LUCAS ARAUJO SANTOS CONSULTORIA E DESENVOLVIMENTO EM TECNOLOGIA DA INFORMAC; LATAM AIRLINES BRASIL</t>
  </si>
  <si>
    <t>Toda provisão tem que ser baixada no mês em que a NF chega — conferir a conta 930 todo fechamento.</t>
  </si>
  <si>
    <t>Lançado em dobro</t>
  </si>
  <si>
    <t>TREBLE.AI DO BRASIL SERVICOS DIGITAIS LTDA.; Renato Sacramento Horta Moreira; VILA VENTURA HOTEIS LTDA; AVA TREINAMENTOS E MENTORIAS LTDA</t>
  </si>
  <si>
    <t>Antes de lançar pagamento (cartão, PIX, boleto), conferir se a NF daquele valor já está no razão.</t>
  </si>
  <si>
    <t>Despesa de 2025 lançada em 2026</t>
  </si>
  <si>
    <t>SWILE DO BRASIL S.A.; DIGESTO PESQUISA E BANCO DE DADOS LTDA; AMAZON AWS SERVICOS BRASIL LTDA; VIR SERVICOS DE INFORMACOES LTDA</t>
  </si>
  <si>
    <t>No fechamento de dezembro, provisionar o que já se sabe que vai chegar atrasado. (O que já caiu em 2026 fica em 2026 — é só nota explicativa.)</t>
  </si>
  <si>
    <t>Mudança de regra nesta revisão</t>
  </si>
  <si>
    <t>Folha de Produto é despesa</t>
  </si>
  <si>
    <t>No P&amp;L oficial, só a folha de Engenharia é custo ("Engineering &amp; Technology Payroll"). Os PJs de Produto ficam em 4.1.6.01.007 (despesa). As pessoas de Produto que já estão em despesa estão certas.</t>
  </si>
  <si>
    <t>DRE contábil consolidado — como vai ficar, conta por conta</t>
  </si>
  <si>
    <t>Cada célula puxa o subtotal da conta na aba do mês ("Como deve ficar" e "Ajuste"). Embaixo, o gerencial (P&amp;L oficial) e a diferença por grupo. As notas aceitas (competência 2025, taxa Pagar.me, folha) estão explicadas no Resumo.</t>
  </si>
  <si>
    <t>COMO VAI FICAR (contábil depois dos lançamentos)</t>
  </si>
  <si>
    <t>Conta</t>
  </si>
  <si>
    <t>Descrição</t>
  </si>
  <si>
    <t>6.2.1.01.001</t>
  </si>
  <si>
    <t>Custos com Serviços de Terceiros - Internos</t>
  </si>
  <si>
    <t>6.2.1.01.003</t>
  </si>
  <si>
    <t>Custos com Transações</t>
  </si>
  <si>
    <t>6.2.1.03.001</t>
  </si>
  <si>
    <t>Custo de Hospedagem e Infraestrutura (Cloud)</t>
  </si>
  <si>
    <t>6.2.1.03.002</t>
  </si>
  <si>
    <t>Custo de Licença de Sofware e Sistemas</t>
  </si>
  <si>
    <t>6.2.1.03.003</t>
  </si>
  <si>
    <t>Custo de APIs de Terceiros</t>
  </si>
  <si>
    <t>4.1.1.01.001</t>
  </si>
  <si>
    <t>Salários</t>
  </si>
  <si>
    <t>4.1.1.01.003</t>
  </si>
  <si>
    <t>Bolsa Estágio</t>
  </si>
  <si>
    <t>4.1.1.01.005</t>
  </si>
  <si>
    <t>Férias</t>
  </si>
  <si>
    <t>4.1.2.01.001</t>
  </si>
  <si>
    <t>Telefonia e Internet</t>
  </si>
  <si>
    <t>4.1.2.01.002</t>
  </si>
  <si>
    <t>Serviços e Equipamentos de TI</t>
  </si>
  <si>
    <t>4.1.2.01.003</t>
  </si>
  <si>
    <t>Licença de Sofware e Sistemas (SaaS)</t>
  </si>
  <si>
    <t>4.1.2.02.001</t>
  </si>
  <si>
    <t>Aluguel</t>
  </si>
  <si>
    <t>4.1.2.02.002</t>
  </si>
  <si>
    <t>Energia Elétrica</t>
  </si>
  <si>
    <t>4.1.2.02.004</t>
  </si>
  <si>
    <t>Serviços de Limpeza</t>
  </si>
  <si>
    <t>4.1.2.02.005</t>
  </si>
  <si>
    <t>Manutenções Prediais</t>
  </si>
  <si>
    <t>4.1.2.04.001</t>
  </si>
  <si>
    <t>Passagens Aereas e Rodoviárias</t>
  </si>
  <si>
    <t>4.1.2.04.002</t>
  </si>
  <si>
    <t>Lanches e Refeições</t>
  </si>
  <si>
    <t>4.1.2.04.003</t>
  </si>
  <si>
    <t>Táxi ou Transportes Executivo</t>
  </si>
  <si>
    <t>4.1.2.04.004</t>
  </si>
  <si>
    <t>Pedágio</t>
  </si>
  <si>
    <t>4.1.2.04.005</t>
  </si>
  <si>
    <t>Hotel e Pousadas</t>
  </si>
  <si>
    <t>4.1.2.04.006</t>
  </si>
  <si>
    <t>Estacionamento</t>
  </si>
  <si>
    <t>4.1.2.04.007</t>
  </si>
  <si>
    <t>Combustível</t>
  </si>
  <si>
    <t>4.1.2.05.001</t>
  </si>
  <si>
    <t>Copa e Cozinha</t>
  </si>
  <si>
    <t>4.1.2.05.002</t>
  </si>
  <si>
    <t>Materiais de Limpeza</t>
  </si>
  <si>
    <t>4.1.2.05.003</t>
  </si>
  <si>
    <t>Material de Escritório</t>
  </si>
  <si>
    <t>4.1.2.05.005</t>
  </si>
  <si>
    <t>Cartório</t>
  </si>
  <si>
    <t>4.1.2.05.007</t>
  </si>
  <si>
    <t>Feiras e Eventos</t>
  </si>
  <si>
    <t>4.1.2.05.009</t>
  </si>
  <si>
    <t>Bens de pequeno valor</t>
  </si>
  <si>
    <t>4.1.2.05.011</t>
  </si>
  <si>
    <t>Mera importação</t>
  </si>
  <si>
    <t>4.1.2.05.012</t>
  </si>
  <si>
    <t>Fretes</t>
  </si>
  <si>
    <t>4.1.3.01.001</t>
  </si>
  <si>
    <t>Publicidade e Propaganda</t>
  </si>
  <si>
    <t>4.1.3.01.002</t>
  </si>
  <si>
    <t>Google Ads</t>
  </si>
  <si>
    <t>4.1.3.01.003</t>
  </si>
  <si>
    <t>Facebook Ads</t>
  </si>
  <si>
    <t>4.1.3.01.004</t>
  </si>
  <si>
    <t>Tiktok Ads</t>
  </si>
  <si>
    <t>4.1.3.01.005</t>
  </si>
  <si>
    <t>Influenciadores</t>
  </si>
  <si>
    <t>4.1.3.01.006</t>
  </si>
  <si>
    <t>Microsoft Ads</t>
  </si>
  <si>
    <t>4.1.3.01.007</t>
  </si>
  <si>
    <t>Reddit Ads</t>
  </si>
  <si>
    <t>4.1.3.01.008</t>
  </si>
  <si>
    <t>Linkedin Ads</t>
  </si>
  <si>
    <t>4.1.4.01.001</t>
  </si>
  <si>
    <t>Taxa de Fiscalização e Licença e Funcionamento</t>
  </si>
  <si>
    <t>4.1.4.01.002</t>
  </si>
  <si>
    <t>IPTU</t>
  </si>
  <si>
    <t>4.1.4.01.004</t>
  </si>
  <si>
    <t>Taxas Municipais Diversas</t>
  </si>
  <si>
    <t>4.1.4.02.002</t>
  </si>
  <si>
    <t>Taxas Estaduais Diversas</t>
  </si>
  <si>
    <t>4.1.4.03.001</t>
  </si>
  <si>
    <t>Taxas Federais Diversas</t>
  </si>
  <si>
    <t>4.1.5.01.003</t>
  </si>
  <si>
    <t>Tarifa e Comissões Bancárias</t>
  </si>
  <si>
    <t>4.1.6.01.001</t>
  </si>
  <si>
    <t>Serviços Contábeis</t>
  </si>
  <si>
    <t>4.1.6.01.002</t>
  </si>
  <si>
    <t>Serviços de Consultoria</t>
  </si>
  <si>
    <t>4.1.6.01.003</t>
  </si>
  <si>
    <t>Serviços Jurídicos</t>
  </si>
  <si>
    <t>4.1.6.01.005</t>
  </si>
  <si>
    <t>Assessoria de Imprensa</t>
  </si>
  <si>
    <t>4.1.6.01.007</t>
  </si>
  <si>
    <t>Serviços de Terceiros - Internos</t>
  </si>
  <si>
    <t>4.1.6.01.008</t>
  </si>
  <si>
    <t>Serviços de Terceiros - Externos</t>
  </si>
  <si>
    <t>4.1.6.02.001</t>
  </si>
  <si>
    <t>Cursos e Treinamentos</t>
  </si>
  <si>
    <t>4.1.6.02.002</t>
  </si>
  <si>
    <t>Auxílio Ifood</t>
  </si>
  <si>
    <t>4.1.6.02.003</t>
  </si>
  <si>
    <t>Despesas com Uniformes</t>
  </si>
  <si>
    <t>4.1.6.02.004</t>
  </si>
  <si>
    <t>Bônus - Internos</t>
  </si>
  <si>
    <t>4.1.6.02.006</t>
  </si>
  <si>
    <t>Beneficio Psicológico</t>
  </si>
  <si>
    <t>4.1.8.09.001</t>
  </si>
  <si>
    <t>Brindes</t>
  </si>
  <si>
    <t>4.1.8.09.002</t>
  </si>
  <si>
    <t>Confraternização</t>
  </si>
  <si>
    <t>4.1.8.09.004</t>
  </si>
  <si>
    <t>Despesa com Contingências</t>
  </si>
  <si>
    <t>4.1.8.09.005</t>
  </si>
  <si>
    <t>4.1.8.10.001</t>
  </si>
  <si>
    <t>Despesas Indedutíveis</t>
  </si>
  <si>
    <t>4.1.8.10.002</t>
  </si>
  <si>
    <t>Perdas Efetivas com Clientes</t>
  </si>
  <si>
    <t>4.1.9.01.002</t>
  </si>
  <si>
    <t>TOTAL CUSTO (6.2)</t>
  </si>
  <si>
    <t>TOTAL DESPESA (4.1)</t>
  </si>
  <si>
    <t>TOTAL</t>
  </si>
  <si>
    <t>Gerencial — custo (P&amp;L oficial)</t>
  </si>
  <si>
    <t>Gerencial — despesa (P&amp;L oficial)</t>
  </si>
  <si>
    <t>Diferença — custo (antes das notas explicativas)</t>
  </si>
  <si>
    <t>Diferença — despesa (antes das notas explicativas)</t>
  </si>
  <si>
    <t>AJUSTE DESTA REVISÃO (soma dos lançamentos por conta)</t>
  </si>
  <si>
    <t>Janeiro/2026 — DRE contábil aberto por conta e fornecedor</t>
  </si>
  <si>
    <t>Cada conta do DRE com os fornecedores do razão (nome como está no livro da Syhus). "Como está" = razão de hoje. "Ajuste" = os lançamentos da aba O QUE FAZER (nº na coluna G). "Como deve ficar" = como a conta fica depois. Os subtotais e totais são fórmulas.</t>
  </si>
  <si>
    <t>Como está</t>
  </si>
  <si>
    <t>Ajuste</t>
  </si>
  <si>
    <t>Como deve ficar</t>
  </si>
  <si>
    <t>Lançamento nº</t>
  </si>
  <si>
    <t>Observação</t>
  </si>
  <si>
    <t>TOTAL DA CONTA</t>
  </si>
  <si>
    <t>Tem R$ 12.667 de competência 2025: fica em 2026 (exercício encerrado), é nota explicativa.</t>
  </si>
  <si>
    <t>13</t>
  </si>
  <si>
    <t>14</t>
  </si>
  <si>
    <t>CORE PRODUCT LTDA</t>
  </si>
  <si>
    <t>POLYANA CHAMAS FALCAO LTDA</t>
  </si>
  <si>
    <t>Tem R$ 9.500 de competência 2025: fica em 2026 (exercício encerrado), é nota explicativa.</t>
  </si>
  <si>
    <t>LEONARDO PIECHA CALDEIRA LTDA</t>
  </si>
  <si>
    <t>Tem R$ 9.917 de competência 2025: fica em 2026 (exercício encerrado), é nota explicativa.</t>
  </si>
  <si>
    <t>36.256.578 CHRISTIAN RODRIGO CORRALES</t>
  </si>
  <si>
    <t>Tem R$ 13.125 de competência 2025: fica em 2026 (exercício encerrado), é nota explicativa.</t>
  </si>
  <si>
    <t>HIGOR SANTOS DE JESUS LTDA</t>
  </si>
  <si>
    <t>Tem R$ 9.333 de competência 2025: fica em 2026 (exercício encerrado), é nota explicativa.</t>
  </si>
  <si>
    <t>50.202.927 FELIPE ALVES DA SILVA</t>
  </si>
  <si>
    <t>Tem R$ 11.550 de competência 2025: fica em 2026 (exercício encerrado), é nota explicativa.</t>
  </si>
  <si>
    <t>54.652.017 JOAO VITOR DE MORAIS ROCHA</t>
  </si>
  <si>
    <t>Tem R$ 9.000 de competência 2025: fica em 2026 (exercício encerrado), é nota explicativa.</t>
  </si>
  <si>
    <t>BAS DIGITAL LTDA</t>
  </si>
  <si>
    <t>Tem R$ 7.000 de competência 2025: fica em 2026 (exercício encerrado), é nota explicativa.</t>
  </si>
  <si>
    <t>MARCOS THIAGO SILVESTRE DE MORAES CONSULTORIA EM TECNOLOGIA DA INFORMACAO LTDA</t>
  </si>
  <si>
    <t>61.806.165 MARILIA MARAGNO PEGORARO</t>
  </si>
  <si>
    <t>DANIEL GERONIMO DO AMARAL 02303012236</t>
  </si>
  <si>
    <t>Tem R$ 6.906 de competência 2025: fica em 2026 (exercício encerrado), é nota explicativa.</t>
  </si>
  <si>
    <t>4TECH DESENVOLVIMENTO DE SOFTWARES LTDA</t>
  </si>
  <si>
    <t>MARIA DE FATIMA BARBOSA CARDOSO DESENVOLVIMENTO DE SOFTWARE LTDA</t>
  </si>
  <si>
    <t>Tem R$ 2.750 de competência 2025: fica em 2026 (exercício encerrado), é nota explicativa.</t>
  </si>
  <si>
    <t>MARCELINO RAMOS DE AVELAR DESENVOLVIMENTO DE SOFTWARES LTDA</t>
  </si>
  <si>
    <t>GUSTAVO HENRIQUE SILVA CONSULTORIA EM TECNOLOGIA DA INFORMACAO LTDA</t>
  </si>
  <si>
    <t>JOSE RICARDO ALVES FIGUEIROA DESENVOLVIMENTO DE SOFTWARE LTDA</t>
  </si>
  <si>
    <t>NORTHON VINICIOS CARDOSO SOARES LTDA</t>
  </si>
  <si>
    <t>Tem R$ 3.000 de competência 2025: fica em 2026 (exercício encerrado), é nota explicativa.</t>
  </si>
  <si>
    <t>Ivan Pedroso dos Santos - 46</t>
  </si>
  <si>
    <t>Tem R$ 11.667 de competência 2025: fica em 2026 (exercício encerrado), é nota explicativa.</t>
  </si>
  <si>
    <t>MEANI DOS SANTOS FREITAS LTDA</t>
  </si>
  <si>
    <t>Tem R$ 2.833 de competência 2025: fica em 2026 (exercício encerrado), é nota explicativa.</t>
  </si>
  <si>
    <t>SAMUELSON DE BRITO MESQUITA 02197364219</t>
  </si>
  <si>
    <t>50.836.277 DIEGO ALVES FERREIRA</t>
  </si>
  <si>
    <t>Tem R$ 3.780 de competência 2025: fica em 2026 (exercício encerrado), é nota explicativa.</t>
  </si>
  <si>
    <t>62.516.834 DAVI GRACIANO NASCIMENTO COSTA</t>
  </si>
  <si>
    <t>Tem R$ 1.333 de competência 2025: fica em 2026 (exercício encerrado), é nota explicativa.</t>
  </si>
  <si>
    <t>LUIS EMANUEL RIGON ALDERETE DESENVOLVIMENTO DE SOFTWARE LTDA</t>
  </si>
  <si>
    <t>Tem R$ 1.250 de competência 2025: fica em 2026 (exercício encerrado), é nota explicativa.</t>
  </si>
  <si>
    <t>Tem R$ 107.263 de competência 2025: fica em 2026 (exercício encerrado), é nota explicativa.</t>
  </si>
  <si>
    <t>WEBSHARE* PROXY PLN YF</t>
  </si>
  <si>
    <t>PADDLE</t>
  </si>
  <si>
    <t>Tem R$ 138.362 de competência 2025: fica em 2026 (exercício encerrado), é nota explicativa.</t>
  </si>
  <si>
    <t>Tem R$ 84.888 de competência 2025: fica em 2026 (exercício encerrado), é nota explicativa.</t>
  </si>
  <si>
    <t>Tem R$ 39.536 de competência 2025: fica em 2026 (exercício encerrado), é nota explicativa.</t>
  </si>
  <si>
    <t>Tem R$ 28.491 de competência 2025: fica em 2026 (exercício encerrado), é nota explicativa.</t>
  </si>
  <si>
    <t>APPCUES</t>
  </si>
  <si>
    <t>Tem R$ 20.036 de competência 2025: fica em 2026 (exercício encerrado), é nota explicativa.</t>
  </si>
  <si>
    <t>POTELO SISTEMAS DE INFORMACAO LTDA</t>
  </si>
  <si>
    <t>METABASE INC</t>
  </si>
  <si>
    <t>BAGOLIN E BASTIANELLO CONSULTORIA LTDA</t>
  </si>
  <si>
    <t>ATLASSIAN JIRA</t>
  </si>
  <si>
    <t>OPENAI CHATGPT</t>
  </si>
  <si>
    <t>FIGMA</t>
  </si>
  <si>
    <t>GITHUB, INC.</t>
  </si>
  <si>
    <t>Tem R$ 1.426 de competência 2025: fica em 2026 (exercício encerrado), é nota explicativa.</t>
  </si>
  <si>
    <t>SELKI TECNOLOGIA LTDA</t>
  </si>
  <si>
    <t>CARBIGDATA TECNOLOGIA E INTELIGENCIA S/A</t>
  </si>
  <si>
    <t>NEW RELIC</t>
  </si>
  <si>
    <t>SENTRY</t>
  </si>
  <si>
    <t>DISCOURSE.ORG Parcela</t>
  </si>
  <si>
    <t>LOVABLE</t>
  </si>
  <si>
    <t>HOSTINGER Parcela</t>
  </si>
  <si>
    <t>GROUPMAP *TEAMRETRO</t>
  </si>
  <si>
    <t>ELEVENLABS</t>
  </si>
  <si>
    <t>PLUGA</t>
  </si>
  <si>
    <t>Tem R$ 89 de competência 2025: fica em 2026 (exercício encerrado), é nota explicativa.</t>
  </si>
  <si>
    <t>CURSOR USAGE AUG</t>
  </si>
  <si>
    <t>NVOIP PLATAF</t>
  </si>
  <si>
    <t>DOCSALES Parcela</t>
  </si>
  <si>
    <t>CODERABBIT</t>
  </si>
  <si>
    <t>FRANCIELLE FERNANDA DA SILVA LAUDINO - 28</t>
  </si>
  <si>
    <t>Tem R$ 5.500 de competência 2025: fica em 2026 (exercício encerrado), é nota explicativa.</t>
  </si>
  <si>
    <t>GIOVANA BASEGGIO DE AZAMBUJA - #9428319</t>
  </si>
  <si>
    <t>Tem R$ 75 de competência 2025: fica em 2026 (exercício encerrado), é nota explicativa.</t>
  </si>
  <si>
    <t>Fopag: DIAS BOLSA AUXILIO 01/2026: - Rúbrica 8797</t>
  </si>
  <si>
    <t>Fopag: Valor da Provisão 01/2026: - Rúbrica 1</t>
  </si>
  <si>
    <t>Sim Digital - RVT - 9169271-3</t>
  </si>
  <si>
    <t>Avato - 173,453417,171</t>
  </si>
  <si>
    <t>BRASIL GESTORA DE OPERACOES S/A</t>
  </si>
  <si>
    <t>STARLINK BRAZIL SERVICOS DE INTERNET LTDA.</t>
  </si>
  <si>
    <t>Avato - 084133</t>
  </si>
  <si>
    <t>Avato - 0453416</t>
  </si>
  <si>
    <t>19</t>
  </si>
  <si>
    <t>20</t>
  </si>
  <si>
    <t>21</t>
  </si>
  <si>
    <t>22</t>
  </si>
  <si>
    <t>HUBSPOT INC.</t>
  </si>
  <si>
    <t>ZOHO CORPORATION BRASIL TECNOLOGIA LTDA.</t>
  </si>
  <si>
    <t>PURPLE METRICS LTDA.</t>
  </si>
  <si>
    <t>Tem R$ 15.828 de competência 2025: fica em 2026 (exercício encerrado), é nota explicativa.</t>
  </si>
  <si>
    <t>IPROYAL</t>
  </si>
  <si>
    <t>TESTES JUSFY</t>
  </si>
  <si>
    <t>LINKEDIN</t>
  </si>
  <si>
    <t>Tem R$ 5.131 de competência 2025: fica em 2026 (exercício encerrado), é nota explicativa.</t>
  </si>
  <si>
    <t>KAMINO INSTITUICAO DE PAGAMENTO LTDA</t>
  </si>
  <si>
    <t>CARTAO CONTA SIMPLES INFINITY</t>
  </si>
  <si>
    <t>Tem R$ 1.633 de competência 2025: fica em 2026 (exercício encerrado), é nota explicativa.</t>
  </si>
  <si>
    <t>AUGMENT CODE</t>
  </si>
  <si>
    <t>OBVIO BRASIL SOFTWARE E SERVICOS S.A.</t>
  </si>
  <si>
    <t>ADOBE</t>
  </si>
  <si>
    <t>CURSOR, AI POWERED IDE</t>
  </si>
  <si>
    <t>Supabase Inc</t>
  </si>
  <si>
    <t>DESCRIPT</t>
  </si>
  <si>
    <t>FREEPIK API PAY AS</t>
  </si>
  <si>
    <t>Tem R$ 119 de competência 2025: fica em 2026 (exercício encerrado), é nota explicativa.</t>
  </si>
  <si>
    <t>MOBBIN.COM Parcela</t>
  </si>
  <si>
    <t>OPENAI CHATGPT Parcela</t>
  </si>
  <si>
    <t>PRIME AMAZON PARTICIPACOES</t>
  </si>
  <si>
    <t>DOCKER, INC.</t>
  </si>
  <si>
    <t>CANVAS BRASIL LTDA</t>
  </si>
  <si>
    <t>X CORP PAID FEATURES BASTROP TX</t>
  </si>
  <si>
    <t>TIMEWORK SERVICOS DE ESCRITORIO LTDA</t>
  </si>
  <si>
    <t>CAMARA DE DIRIGENTES LOJISTAS DE SANTA MARIA</t>
  </si>
  <si>
    <t>Tem R$ 4.335 de competência 2025: fica em 2026 (exercício encerrado), é nota explicativa.</t>
  </si>
  <si>
    <t>CASTELBRAS DESIGN, COMUNICACAO E TECNOLOGIA DA INFORMACAO LTDA</t>
  </si>
  <si>
    <t>Celesc Distribuição - 07790.00116 12082.5</t>
  </si>
  <si>
    <t>RGE ENERGIA ELETRICA - 143835587</t>
  </si>
  <si>
    <t>K. H. S. COMERCIO DE TECNOLOGIA LTDA</t>
  </si>
  <si>
    <t>LATAM AIRLINES BRASIL</t>
  </si>
  <si>
    <t>RDS VIAGENS</t>
  </si>
  <si>
    <t>AZUL LINHAS AEREAS BRASILEIRAS S.A.</t>
  </si>
  <si>
    <t>DECOLAR. COM LTDA.</t>
  </si>
  <si>
    <t>THIAGO OLIVEIRA DIAS PF - #9348060</t>
  </si>
  <si>
    <t>MERCADOLIVRE</t>
  </si>
  <si>
    <t>STANGHERLIN SUPERMERCADOS LTDA</t>
  </si>
  <si>
    <t>TRAVEL MIX LTDA</t>
  </si>
  <si>
    <t>FRANCIELLE FERNANDA DA SILVA LAUDINO - 30</t>
  </si>
  <si>
    <t>KAIO MARTINS DA SILVA PF - #9330428</t>
  </si>
  <si>
    <t>ORINTER TOUR E TRAVEL Parcela</t>
  </si>
  <si>
    <t>SAN DIEGO SUITES BELO HORIZONTE LOURDES</t>
  </si>
  <si>
    <t>PAYPAL SHELLBOX</t>
  </si>
  <si>
    <t>Tem R$ 333 de competência 2025: fica em 2026 (exercício encerrado), é nota explicativa.</t>
  </si>
  <si>
    <t>JRP INDUSTRIA COM DE BEB LTDA</t>
  </si>
  <si>
    <t>EXPRESSITO MAQUINAS E GRAOS PARA CAFE ESPRESSO LTDA</t>
  </si>
  <si>
    <t>ALFA MAQUINAS DE CAFE LTDA</t>
  </si>
  <si>
    <t>MADE IN NATURAL COMERCIO DE ALIMENTOS E PRODUTOS ECOLOGICOS</t>
  </si>
  <si>
    <t>EMPORIO DE DOCES AVELOZ LTDA</t>
  </si>
  <si>
    <t>EBAZAR.COM.BR. LTDA</t>
  </si>
  <si>
    <t>GJK SHOPPING LTDA</t>
  </si>
  <si>
    <t>CIA ZAFFARI COM E IND - LOJA 24</t>
  </si>
  <si>
    <t>HIPERSUL PRODUTOS DE LIMPEZA LTDA</t>
  </si>
  <si>
    <t>EMESUL DECORANDOBEM MATERIAIS DE REVESTIMENTOS</t>
  </si>
  <si>
    <t>AGP TECNOLOGIA EM INFORMATICA DO BRASIL</t>
  </si>
  <si>
    <t>AMAZON BR</t>
  </si>
  <si>
    <t>KABUM</t>
  </si>
  <si>
    <t>SACOLA KRAFT COMERCIO DE SACOS E SACOLAS LTDA</t>
  </si>
  <si>
    <t>LUIZ FERNANDO MELGAR</t>
  </si>
  <si>
    <t>VITALUZ</t>
  </si>
  <si>
    <t>VEGSIM LTDA</t>
  </si>
  <si>
    <t>VITAO ALIMENTOS LTDA</t>
  </si>
  <si>
    <t>GUILHERME LOPES BRANCO 03239562030</t>
  </si>
  <si>
    <t>Eletro Para Voce Ltda.</t>
  </si>
  <si>
    <t>GUILHERME SAYDELLES BICCA 00600704041</t>
  </si>
  <si>
    <t>Tem R$ 1.800 de competência 2025: fica em 2026 (exercício encerrado), é nota explicativa.</t>
  </si>
  <si>
    <t>GOOGLE BRASIL INTERNET LTDA.</t>
  </si>
  <si>
    <t>FACEBOOK SERVICOS ONLINE DO BRASIL LTDA.</t>
  </si>
  <si>
    <t>BYTEDANCE BRASIL TECNOLOGIA LTDA.</t>
  </si>
  <si>
    <t>18</t>
  </si>
  <si>
    <t>10</t>
  </si>
  <si>
    <t>11</t>
  </si>
  <si>
    <t>36.139.757 ALAN OLIVEIRA</t>
  </si>
  <si>
    <t>Municipio de Santa Maria</t>
  </si>
  <si>
    <t>PAGARME PAGAMENTOS</t>
  </si>
  <si>
    <t>SYHUS CONTABILIDADE SOCIEDADE SIMPLES LTDA</t>
  </si>
  <si>
    <t>Tem R$ 19.922 de competência 2025: fica em 2026 (exercício encerrado), é nota explicativa.</t>
  </si>
  <si>
    <t>Tem R$ 11.485 de competência 2025: fica em 2026 (exercício encerrado), é nota explicativa.</t>
  </si>
  <si>
    <t>RECH &amp; LONGO LTDA</t>
  </si>
  <si>
    <t>LOPES E SILVA ADVOGADOS</t>
  </si>
  <si>
    <t>BENDITA IMAGEM ASSESSORIA DE IMPRENSA LTDA</t>
  </si>
  <si>
    <t>16</t>
  </si>
  <si>
    <t>Tem R$ 10.000 de competência 2025: fica em 2026 (exercício encerrado), é nota explicativa.</t>
  </si>
  <si>
    <t>Tem R$ 13.333 de competência 2025: fica em 2026 (exercício encerrado), é nota explicativa.</t>
  </si>
  <si>
    <t>Tem R$ 30.000 de competência 2025: fica em 2026 (exercício encerrado), é nota explicativa.</t>
  </si>
  <si>
    <t>Tem R$ 8.167 de competência 2025: fica em 2026 (exercício encerrado), é nota explicativa.</t>
  </si>
  <si>
    <t>Tem R$ 145.000 de competência 2025: fica em 2026 (exercício encerrado), é nota explicativa. Tem R$ 1.885 de competência 2025: fica em 2026 (exercício encerrado), é nota explicativa.</t>
  </si>
  <si>
    <t>KARINE C GOMBERG SERVICOS ADMINISTRATIVOS</t>
  </si>
  <si>
    <t>Tem R$ 22.500 de competência 2025: fica em 2026 (exercício encerrado), é nota explicativa.</t>
  </si>
  <si>
    <t>SOFIA ANY COSTA KALOUSTIAN APOIO ADMINISTRATIVO LTDA</t>
  </si>
  <si>
    <t>ROCHA CASTANHA SOLUCOES LTDA</t>
  </si>
  <si>
    <t>Tem R$ 22.000 de competência 2025: fica em 2026 (exercício encerrado), é nota explicativa.</t>
  </si>
  <si>
    <t>BRUNO JOSE SOBREIRA CAVALIERI LTDA</t>
  </si>
  <si>
    <t>LAB E - CONSULTORIA E ORGANIZACAO DE EVENTOS LTDA</t>
  </si>
  <si>
    <t>Tem R$ 14.250 de competência 2025: fica em 2026 (exercício encerrado), é nota explicativa.</t>
  </si>
  <si>
    <t>51.749.838 GUILHERME CARDOSO PIRES PIZA</t>
  </si>
  <si>
    <t>Tem R$ 15.385 de competência 2025: fica em 2026 (exercício encerrado), é nota explicativa.</t>
  </si>
  <si>
    <t>Tem R$ 7.307 de competência 2025: fica em 2026 (exercício encerrado), é nota explicativa. Tem R$ 7.618 de competência 2025: fica em 2026 (exercício encerrado), é nota explicativa.</t>
  </si>
  <si>
    <t>Tem R$ 13.500 de competência 2025: fica em 2026 (exercício encerrado), é nota explicativa.</t>
  </si>
  <si>
    <t>49.927.077 JUAN CARLO ALTMAYER</t>
  </si>
  <si>
    <t>LUA VVP SERVICOS DE PUBLICIDADE LTDA</t>
  </si>
  <si>
    <t>BRUNO CARDOSO VILAS BOAS TECNOLOGIA DA INFORMACAO LTDA</t>
  </si>
  <si>
    <t>Tem R$ 7.333 de competência 2025: fica em 2026 (exercício encerrado), é nota explicativa.</t>
  </si>
  <si>
    <t>62.554.934 MATHEUS OLIVEIRA DOS SANTOS</t>
  </si>
  <si>
    <t>ISABELA GEHLEN ECKHARD LTDA</t>
  </si>
  <si>
    <t>60.236.383 VITOR DOS SANTOS BITENCOURT</t>
  </si>
  <si>
    <t>Tem R$ 6.910 de competência 2025: fica em 2026 (exercício encerrado), é nota explicativa. Tem R$ 2.250 de competência 2025: fica em 2026 (exercício encerrado), é nota explicativa.</t>
  </si>
  <si>
    <t>55.903.824 NATHALIA DE SOUZA MIGUEL FERNANDES</t>
  </si>
  <si>
    <t>Tem R$ 3.125 de competência 2025: fica em 2026 (exercício encerrado), é nota explicativa.</t>
  </si>
  <si>
    <t>GABRIELLE SA CONSULTORIA E GESTAO LTDA</t>
  </si>
  <si>
    <t>Tem R$ 5.250 de competência 2025: fica em 2026 (exercício encerrado), é nota explicativa.</t>
  </si>
  <si>
    <t>ZANETTE E OPPELT ADVOGADOS ASSOCIADOS</t>
  </si>
  <si>
    <t>55.348.664 YASMIM PEREIRA DIAS</t>
  </si>
  <si>
    <t>Tem R$ 4.000 de competência 2025: fica em 2026 (exercício encerrado), é nota explicativa.</t>
  </si>
  <si>
    <t>Tem R$ 5.933 de competência 2025: fica em 2026 (exercício encerrado), é nota explicativa.</t>
  </si>
  <si>
    <t>ARTHUR MOREIRA FERREIRA 02221625625</t>
  </si>
  <si>
    <t>Tem R$ 4.800 de competência 2025: fica em 2026 (exercício encerrado), é nota explicativa.</t>
  </si>
  <si>
    <t>Tem R$ 6.726 de competência 2025: fica em 2026 (exercício encerrado), é nota explicativa. Tem R$ 2.250 de competência 2025: fica em 2026 (exercício encerrado), é nota explicativa. Tem R$ 3.000 de competência 2025: fica em 2026 (exercício encerrado), é nota explicativa.</t>
  </si>
  <si>
    <t>Tem R$ 5.775 de competência 2025: fica em 2026 (exercício encerrado), é nota explicativa.</t>
  </si>
  <si>
    <t>Tem R$ 3.271 de competência 2025: fica em 2026 (exercício encerrado), é nota explicativa.</t>
  </si>
  <si>
    <t>BRAYAN SOLUTIONS LTDA</t>
  </si>
  <si>
    <t>WALISSON CAMARGO DE ARRUDA 04662543002</t>
  </si>
  <si>
    <t>Tem R$ 4.333 de competência 2025: fica em 2026 (exercício encerrado), é nota explicativa.</t>
  </si>
  <si>
    <t>KAIO MARTINS DA SILVA 14903674703</t>
  </si>
  <si>
    <t>Tem R$ 5.106 de competência 2025: fica em 2026 (exercício encerrado), é nota explicativa.</t>
  </si>
  <si>
    <t>60.404.569 KARINA MATEUS DA SILVA</t>
  </si>
  <si>
    <t>Tem R$ 3.418 de competência 2025: fica em 2026 (exercício encerrado), é nota explicativa.</t>
  </si>
  <si>
    <t>62.043.707 MARIANE LEVA DE FREITAS</t>
  </si>
  <si>
    <t>Tem R$ 2.500 de competência 2025: fica em 2026 (exercício encerrado), é nota explicativa.</t>
  </si>
  <si>
    <t>DRF SERVICOS E INFORMATICA LTDA</t>
  </si>
  <si>
    <t>LUAN ANDREY VIEIRA 03682734074</t>
  </si>
  <si>
    <t>Tem R$ 4.840 de competência 2025: fica em 2026 (exercício encerrado), é nota explicativa.</t>
  </si>
  <si>
    <t>61.346.327 ALEXSANDRO DORNELES TEIXEIRA</t>
  </si>
  <si>
    <t>Tem R$ 6.766 de competência 2025: fica em 2026 (exercício encerrado), é nota explicativa. Tem R$ 1.500 de competência 2025: fica em 2026 (exercício encerrado), é nota explicativa.</t>
  </si>
  <si>
    <t>58.410.228 LARISSA SILVA GONCALVES</t>
  </si>
  <si>
    <t>Tem R$ 3.500 de competência 2025: fica em 2026 (exercício encerrado), é nota explicativa.</t>
  </si>
  <si>
    <t>63.716.847 RENATA FERNANDES GRESS</t>
  </si>
  <si>
    <t>Tem R$ 7.120 de competência 2025: fica em 2026 (exercício encerrado), é nota explicativa.</t>
  </si>
  <si>
    <t>50.865.381 MATHEUS DOS SANTOS SACCOL</t>
  </si>
  <si>
    <t>60.051.930 ADRIEL GUIMEL ALENCAR BRANDES</t>
  </si>
  <si>
    <t>Tem R$ 2.625 de competência 2025: fica em 2026 (exercício encerrado), é nota explicativa.</t>
  </si>
  <si>
    <t>LUIZ FELIPE COUGO VACCARO</t>
  </si>
  <si>
    <t>RHUAN DAL-RI BRAGA SERVICOS COMERCIAIS LTDA</t>
  </si>
  <si>
    <t>62.078.883 DENER RAFAEL SANTOS DO NASCIMENTO</t>
  </si>
  <si>
    <t>JMR SOLUCOES DIGITAIS LTDA</t>
  </si>
  <si>
    <t>Tem R$ 2.000 de competência 2025: fica em 2026 (exercício encerrado), é nota explicativa.</t>
  </si>
  <si>
    <t>54.384.352 JULIANO OLIVEIRA DA COSTA</t>
  </si>
  <si>
    <t>FRANCIELLE FERNANDA DA SILVA LAUDINO 13018643666</t>
  </si>
  <si>
    <t>BRASIL SERVICOS DE TECNOLOGIA LTDA</t>
  </si>
  <si>
    <t>CARLOS EDUARDO DIAS DOS SANTOS</t>
  </si>
  <si>
    <t>SALVY LTDA</t>
  </si>
  <si>
    <t>RVT SERVICOS DE TELECOMUNICACOES LTDA</t>
  </si>
  <si>
    <t>PLUGA TECNOLOGIA S.A.</t>
  </si>
  <si>
    <t>NUCLEO BRASIL SERVIDORES LTDA</t>
  </si>
  <si>
    <t>22793 CONSULTORIA EM TECNOLOGIA DA INFORMACAO LTDA</t>
  </si>
  <si>
    <t>THAMILA CORREA DE BRUM</t>
  </si>
  <si>
    <t>59.794.104 LUCAS MARCHESE WINFIELD</t>
  </si>
  <si>
    <t>CSP TREINAMENTO EM DESENVOLVIMENTO GERENCIAL LTDA</t>
  </si>
  <si>
    <t>Guia da Alma</t>
  </si>
  <si>
    <t>LILIANE MAZZUIA PEREIRA</t>
  </si>
  <si>
    <t>3M AGROPEC E COM LTDA</t>
  </si>
  <si>
    <t>1</t>
  </si>
  <si>
    <t>MERCADO DO HENRIQUE</t>
  </si>
  <si>
    <t>Tem R$ 1.052 de competência 2025: fica em 2026 (exercício encerrado), é nota explicativa.</t>
  </si>
  <si>
    <t>ONIX MULTICOISAS LTDA</t>
  </si>
  <si>
    <t>Tem R$ 374 de competência 2025: fica em 2026 (exercício encerrado), é nota explicativa. Tem R$ 170 de competência 2025: fica em 2026 (exercício encerrado), é nota explicativa.</t>
  </si>
  <si>
    <t>FLOR COMERCIO E IMPORTACAO LTDA</t>
  </si>
  <si>
    <t>VARGAS DOCES E FESTAS</t>
  </si>
  <si>
    <t>MARA NANCI FLORES SCHMITT</t>
  </si>
  <si>
    <t>Tem R$ 35 de competência 2025: fica em 2026 (exercício encerrado), é nota explicativa.</t>
  </si>
  <si>
    <t>BRAULIO KISNER - Reversão</t>
  </si>
  <si>
    <t>BRAULIO KISNER</t>
  </si>
  <si>
    <t>KABUM S.A.</t>
  </si>
  <si>
    <t>GABRIELLE SILVA DE MORAIS - ESTORNO</t>
  </si>
  <si>
    <t>Carlos Pazian - ESTORNO</t>
  </si>
  <si>
    <t>Gileno Andrade de Al - ESTORNO</t>
  </si>
  <si>
    <t>RAFAEL ANTUNES DA SILVA - ESTORNO</t>
  </si>
  <si>
    <t>Marilene dos Santos - ESTORNO</t>
  </si>
  <si>
    <t>Lara Ferreira Gonçalves - ESTORNO</t>
  </si>
  <si>
    <t>Odirley Pires de Avila - ESTORNO</t>
  </si>
  <si>
    <t>Tem R$ 80 de competência 2025: fica em 2026 (exercício encerrado), é nota explicativa.</t>
  </si>
  <si>
    <t>Leonildo Mendonca Menezes - ESTORNO</t>
  </si>
  <si>
    <t>TOTAL DO MÊS</t>
  </si>
  <si>
    <t>Fevereiro/2026 — DRE contábil aberto por conta e fornecedor</t>
  </si>
  <si>
    <t>30</t>
  </si>
  <si>
    <t>31</t>
  </si>
  <si>
    <t>33</t>
  </si>
  <si>
    <t>34</t>
  </si>
  <si>
    <t>35</t>
  </si>
  <si>
    <t>36</t>
  </si>
  <si>
    <t>37</t>
  </si>
  <si>
    <t>Renato Sacramento Horta Moreira</t>
  </si>
  <si>
    <t>44</t>
  </si>
  <si>
    <t>38, 39</t>
  </si>
  <si>
    <t>DISCOURSE.ORG</t>
  </si>
  <si>
    <t>Cleverbridge</t>
  </si>
  <si>
    <t>29</t>
  </si>
  <si>
    <t>32</t>
  </si>
  <si>
    <t>DIGESTO - defasagem de 1 mês (padrão recorrente, ct 143.199 vs ger 151.942)</t>
  </si>
  <si>
    <t>DOCSALES</t>
  </si>
  <si>
    <t>Fopag: DIAS BOLSA AUXILIO 02/2026: - Rúbrica 8797</t>
  </si>
  <si>
    <t>Fopag: Valor da Provisão 02/2026: - Rúbrica 1</t>
  </si>
  <si>
    <t>Avato</t>
  </si>
  <si>
    <t>Sim Digital - RVT</t>
  </si>
  <si>
    <t>BIANCA DA SILVEIRA LESSA PF</t>
  </si>
  <si>
    <t>41</t>
  </si>
  <si>
    <t>DIGITALOCEAN.COM</t>
  </si>
  <si>
    <t>JUAN CARLO ALTMAYER STENZEL PF</t>
  </si>
  <si>
    <t>HOSTINGER</t>
  </si>
  <si>
    <t>MOBBIN.COM</t>
  </si>
  <si>
    <t>Celesc Distribuição</t>
  </si>
  <si>
    <t>RGE ENERGIA ELETRICA Energia Elétrica 147058223</t>
  </si>
  <si>
    <t>CASA DAS PERSIANAS TRILHO SUISSO TELAS MOSQUITEIRAS</t>
  </si>
  <si>
    <t>42</t>
  </si>
  <si>
    <t>RENATO SACRAMENTO HORTA MOREIRA PF - #9424806</t>
  </si>
  <si>
    <t>RENATO SACRAMENTO HORTA MOREIRA PF - #9371125</t>
  </si>
  <si>
    <t>LUAN ANDREY VIEIRA PF - #9385569</t>
  </si>
  <si>
    <t>KAUAN SOUZA PORTELA PF</t>
  </si>
  <si>
    <t>KAIO MARTINS DA SILVA PF</t>
  </si>
  <si>
    <t>ELIZANGELA FERNANDES BORGES</t>
  </si>
  <si>
    <t>RENATO SACRAMENTO HORTA MOREIRA PF - #9371674</t>
  </si>
  <si>
    <t>JAIRO CAVANUS PF - #9394090</t>
  </si>
  <si>
    <t>LEONARDO PIECHA CALDEIRA PF - #74961961</t>
  </si>
  <si>
    <t>"Conta Recebida MARCELINO RAMOS DE AVELAR PF Táxi ou Transportes Executivo (10,129382%)</t>
  </si>
  <si>
    <t>LUIS EMANUEL RIGON ALDERETE PF</t>
  </si>
  <si>
    <t>DENER RAFAEL SANTOS DO NASCIMENTO PF</t>
  </si>
  <si>
    <t>KAYRO DANYELL ALVES PF</t>
  </si>
  <si>
    <t>Polyana Chamas Falcão</t>
  </si>
  <si>
    <t>"Conta Recebida ELISABETE DA SILVA PULHESE Táxi ou Transportes Executivo (50,000000%)</t>
  </si>
  <si>
    <t>GUILHERME LACERDA DE AVILA PF</t>
  </si>
  <si>
    <t>JAIRO CAVANUS PF</t>
  </si>
  <si>
    <t>LEONARDO PIECHA CALDEIRA PF</t>
  </si>
  <si>
    <t>MARIANE LEVA DE FREITAS PF</t>
  </si>
  <si>
    <t>JULIANO LIMA DA SILVA PF</t>
  </si>
  <si>
    <t>Tem R$ 179.504 de competência 2025: fica em 2026 (exercício encerrado), é nota explicativa.</t>
  </si>
  <si>
    <t>ORINTER TOUR E TRAVEL</t>
  </si>
  <si>
    <t>COMFY</t>
  </si>
  <si>
    <t>PAGAMENTO REF. FATURA - COMFY CLUB LTDA</t>
  </si>
  <si>
    <t>CLIP PAPELARIA BRILHANTE</t>
  </si>
  <si>
    <t>ALPHAGRAPHICS</t>
  </si>
  <si>
    <t>CHURRASCARIA NOVA SANT</t>
  </si>
  <si>
    <t>BELMIRICO TECNOLOGIA</t>
  </si>
  <si>
    <t>ATHILA WESLEY LIMA LACERDA MARKETING DIRETO</t>
  </si>
  <si>
    <t>KAYRO DANYELL ALVES CONSULTORIA EM TECNOLOGIA DA INFORMACAO LTDA</t>
  </si>
  <si>
    <t>62.593.366 ELIZANGELA FERNANDES BORGES</t>
  </si>
  <si>
    <t>36.747.023 MARIANA GONCALVES DOS ANJOS</t>
  </si>
  <si>
    <t>ZIEZZO IDEIAS CRIATIVAS LTDA</t>
  </si>
  <si>
    <t>64.802.303 JOCIMAR RODRIGUES CHAGAS</t>
  </si>
  <si>
    <t>OLADA PRODUCOES AUDIOVISUAIS LTDA</t>
  </si>
  <si>
    <t>DE LUCA &amp; OLIVEIRA ADVOGADOS ASSOCIADOS.</t>
  </si>
  <si>
    <t>COMPANY HERO LTDA</t>
  </si>
  <si>
    <t>SMEP BH HOTEIS LTDA</t>
  </si>
  <si>
    <t>Incentivale Marketing de Incentivo Ltda</t>
  </si>
  <si>
    <t>27</t>
  </si>
  <si>
    <t>26</t>
  </si>
  <si>
    <t>MARIA FERNANDA BRANCO TORRANO</t>
  </si>
  <si>
    <t>Tem R$ 320 de competência 2025: fica em 2026 (exercício encerrado), é nota explicativa.</t>
  </si>
  <si>
    <t>JESSICA FERNANDA GARCIA GRACIOLI</t>
  </si>
  <si>
    <t>MARIA ELAINE UCHOA</t>
  </si>
  <si>
    <t>ANITA MENDOZA BRANQUINHO</t>
  </si>
  <si>
    <t>Tem R$ 50 de competência 2025: fica em 2026 (exercício encerrado), é nota explicativa.</t>
  </si>
  <si>
    <t>TRIBUNAL DE JUSTIÇA DA BAHIA</t>
  </si>
  <si>
    <t>PAGAR.ME PAGAMENTOS</t>
  </si>
  <si>
    <t>PODER JUDICIÁRIO ESTADO DO RIO DE JANEIRO</t>
  </si>
  <si>
    <t>THIAGO PERCIDES PEREIRA Serviços Jurídicos REEMBOLSO</t>
  </si>
  <si>
    <t>Tem R$ 8.500 de competência 2025: fica em 2026 (exercício encerrado), é nota explicativa.</t>
  </si>
  <si>
    <t>Luan Andrey Vieira</t>
  </si>
  <si>
    <t>Dataserver Acessorios para Informatica Ltda - EPP</t>
  </si>
  <si>
    <t>SPEED IO - SERVICOS ESPECIALIZADOS LTDA</t>
  </si>
  <si>
    <t>AVATO TECNOLOGIA S.A</t>
  </si>
  <si>
    <t>WGT GOMES D SANTOS LTDA</t>
  </si>
  <si>
    <t>WITTE - COMERCIO E SERVICOS GRAFICOS LTDA. - EM RECUPERACAO JUDICIAL</t>
  </si>
  <si>
    <t>PIX Enviado para CSP TREINAMENTO EM DESENVOLVIMEN</t>
  </si>
  <si>
    <t>40</t>
  </si>
  <si>
    <t>Alfredo Uniformes</t>
  </si>
  <si>
    <t>28</t>
  </si>
  <si>
    <t>25</t>
  </si>
  <si>
    <t>DEYVID KENID DA SILVA PF - #9375118</t>
  </si>
  <si>
    <t>MARAVILHA FESTAS</t>
  </si>
  <si>
    <t>TRIBUNAL DE JUSTICA DO ESTADO DE GOIAS</t>
  </si>
  <si>
    <t>EMESUL DECORANDOBEM</t>
  </si>
  <si>
    <t>Tem R$ 3.878 de competência 2025: fica em 2026 (exercício encerrado), é nota explicativa. Tem R$ 781 de competência 2025: fica em 2026 (exercício encerrado), é nota explicativa. Tem R$ 287 de competência 2025: fica em 2026 (exercício encerrado), é nota explicativa. Tem R$ 1.097 de competência 2025: fica em 2026 (exercício encerrado), é nota explicativa. Tem R$ 176 de competência 2025: fica em 2026 (exercício encerrado), é nota explicativa. Tem R$ 2.699 de competência 2025: fica em 2026 (exercício encerrado), é nota explicativa. Tem R$ 383 de competência 2025: fica em 2026 (exercício encerrado), é nota explicativa. Tem R$ 2.000 de competência 2025: fica em 2026 (exercício encerrado), é nota explicativa. Tem R$ 56 de competência 2025: fica em 2026 (exercício encerrado), é nota explicativa. Tem R$ 54 de competência 2025: fica em 2026 (exercício encerrado), é nota explicativa. Tem R$ 41 de competência 2025: fica em 2026 (exercício encerrado), é nota explicativa.</t>
  </si>
  <si>
    <t>Ajuste Provisão de PIS-MP66 referente ao exercicio anterior</t>
  </si>
  <si>
    <t>Tem R$ 11.448 de competência 2025: fica em 2026 (exercício encerrado), é nota explicativa.</t>
  </si>
  <si>
    <t>Doação conforme recibo nº 34727 do fornecedor INSTITUTO EMPREENDER ENDEAVOR - BRASIL</t>
  </si>
  <si>
    <t>Renato - Reversão</t>
  </si>
  <si>
    <t>Joao Vitor de Morais Rocha</t>
  </si>
  <si>
    <t>Pinterest Servicos de Sao Paulo BRA</t>
  </si>
  <si>
    <t>Tem R$ 5.789 de competência 2025: fica em 2026 (exercício encerrado), é nota explicativa.</t>
  </si>
  <si>
    <t>LG ELECTRONICS DO BRASIL LTDA</t>
  </si>
  <si>
    <t>DELL COMPUTADORES DO BRASIL LTDA</t>
  </si>
  <si>
    <t>ELISABETE DA SILVA PULHESE</t>
  </si>
  <si>
    <t>PIX Enviado para RAFAEL CANDIA JOSE</t>
  </si>
  <si>
    <t>THAMILA BRUM STUDIO</t>
  </si>
  <si>
    <t>DELL</t>
  </si>
  <si>
    <t>Kor - Reembolsos - Compra de Ativo - V Aracaty G de Lima Business Consulting L</t>
  </si>
  <si>
    <t>Tem R$ 2.920 de competência 2025: fica em 2026 (exercício encerrado), é nota explicativa.</t>
  </si>
  <si>
    <t>INTERCOM R&amp;D</t>
  </si>
  <si>
    <t>Tem R$ 2.755 de competência 2025: fica em 2026 (exercício encerrado), é nota explicativa.</t>
  </si>
  <si>
    <t>VITORIA CANDIA - JUNQUEIRA E CANDIA ADVOCACIA</t>
  </si>
  <si>
    <t>Kor Solutions - Victor Aracty</t>
  </si>
  <si>
    <t>Tem R$ 2.451 de competência 2025: fica em 2026 (exercício encerrado), é nota explicativa.</t>
  </si>
  <si>
    <t>GuiaDaAlma FLORIANOPOLIS BRA</t>
  </si>
  <si>
    <t>Tem R$ 1.897 de competência 2025: fica em 2026 (exercício encerrado), é nota explicativa.</t>
  </si>
  <si>
    <t>ZARA HOME BRAZIL</t>
  </si>
  <si>
    <t>Tem R$ 1.884 de competência 2025: fica em 2026 (exercício encerrado), é nota explicativa.</t>
  </si>
  <si>
    <t>GUIADAALMA</t>
  </si>
  <si>
    <t>Tem R$ 1.797 de competência 2025: fica em 2026 (exercício encerrado), é nota explicativa.</t>
  </si>
  <si>
    <t>SUPERHUMAN SA (USD 300,00 @ R$5,77)</t>
  </si>
  <si>
    <t>Tem R$ 1.731 de competência 2025: fica em 2026 (exercício encerrado), é nota explicativa.</t>
  </si>
  <si>
    <t>AJF COMERCIO DE MOVEIS</t>
  </si>
  <si>
    <t>Tem R$ 287 de competência 2025: fica em 2026 (exercício encerrado), é nota explicativa.</t>
  </si>
  <si>
    <t>MARCIO MARTINS GELOCHA</t>
  </si>
  <si>
    <t>Tem R$ 1.350 de competência 2025: fica em 2026 (exercício encerrado), é nota explicativa.</t>
  </si>
  <si>
    <t>NB JK</t>
  </si>
  <si>
    <t>Tem R$ 1.319 de competência 2025: fica em 2026 (exercício encerrado), é nota explicativa.</t>
  </si>
  <si>
    <t>Catarina Ferreira Abboud</t>
  </si>
  <si>
    <t>COMFY *COMFY 5 de 10</t>
  </si>
  <si>
    <t>ASAAS *CAFEAMERICA</t>
  </si>
  <si>
    <t>Tem R$ 1.225 de competência 2025: fica em 2026 (exercício encerrado), é nota explicativa.</t>
  </si>
  <si>
    <t>BOOKING.COM40775914859</t>
  </si>
  <si>
    <t>Tem R$ 1.140 de competência 2025: fica em 2026 (exercício encerrado), é nota explicativa.</t>
  </si>
  <si>
    <t>Tem R$ 71 de competência 2025: fica em 2026 (exercício encerrado), é nota explicativa. Tem R$ 53 de competência 2025: fica em 2026 (exercício encerrado), é nota explicativa. Tem R$ 120 de competência 2025: fica em 2026 (exercício encerrado), é nota explicativa. Tem R$ 583 de competência 2025: fica em 2026 (exercício encerrado), é nota explicativa. Tem R$ 100 de competência 2025: fica em 2026 (exercício encerrado), é nota explicativa. Tem R$ 83 de competência 2025: fica em 2026 (exercício encerrado), é nota explicativa.</t>
  </si>
  <si>
    <t>FERRAGEM E ELETRONICA</t>
  </si>
  <si>
    <t>Tem R$ 1.003 de competência 2025: fica em 2026 (exercício encerrado), é nota explicativa.</t>
  </si>
  <si>
    <t>Juan Carlo</t>
  </si>
  <si>
    <t>Tem R$ 825 de competência 2025: fica em 2026 (exercício encerrado), é nota explicativa. Tem R$ 45 de competência 2025: fica em 2026 (exercício encerrado), é nota explicativa.</t>
  </si>
  <si>
    <t>Microondas Jusfy - Móveis e Eletrodomesticos - Electrolux do Brasil S/A</t>
  </si>
  <si>
    <t>Tem R$ 869 de competência 2025: fica em 2026 (exercício encerrado), é nota explicativa.</t>
  </si>
  <si>
    <t>CARREFOUR 417 SMA</t>
  </si>
  <si>
    <t>Tem R$ 499 de competência 2025: fica em 2026 (exercício encerrado), é nota explicativa. Tem R$ 356 de competência 2025: fica em 2026 (exercício encerrado), é nota explicativa.</t>
  </si>
  <si>
    <t>AZULZWNGMN 4 de 6</t>
  </si>
  <si>
    <t>Tem R$ 830 de competência 2025: fica em 2026 (exercício encerrado), é nota explicativa.</t>
  </si>
  <si>
    <t>HUB*KaBuM</t>
  </si>
  <si>
    <t>Tem R$ 274 de competência 2025: fica em 2026 (exercício encerrado), é nota explicativa.</t>
  </si>
  <si>
    <t>NOVA GESTAO ADMINISTRA</t>
  </si>
  <si>
    <t>Tem R$ 799 de competência 2025: fica em 2026 (exercício encerrado), é nota explicativa.</t>
  </si>
  <si>
    <t>COMFY 7 de 10</t>
  </si>
  <si>
    <t>FERRAGEM RECOSUL</t>
  </si>
  <si>
    <t>Tem R$ 580 de competência 2025: fica em 2026 (exercício encerrado), é nota explicativa.</t>
  </si>
  <si>
    <t>JARI RODRIGUES DA SILVEIRA</t>
  </si>
  <si>
    <t>Tem R$ 550 de competência 2025: fica em 2026 (exercício encerrado), é nota explicativa.</t>
  </si>
  <si>
    <t>MARCELOHIROSHI</t>
  </si>
  <si>
    <t>Tem R$ 510 de competência 2025: fica em 2026 (exercício encerrado), é nota explicativa.</t>
  </si>
  <si>
    <t>ZARA BRASIL LTDA</t>
  </si>
  <si>
    <t>Tem R$ 463 de competência 2025: fica em 2026 (exercício encerrado), é nota explicativa.</t>
  </si>
  <si>
    <t>JAIRO CAVANUS PF - #9306421</t>
  </si>
  <si>
    <t>MUVIFLEX PLANALTOCOM</t>
  </si>
  <si>
    <t>Tem R$ 400 de competência 2025: fica em 2026 (exercício encerrado), é nota explicativa.</t>
  </si>
  <si>
    <t>Material de Construção Persianas Casa das Persianas Trilho Suisso Telas Mosquiteiras Sm</t>
  </si>
  <si>
    <t>Tem R$ 370 de competência 2025: fica em 2026 (exercício encerrado), é nota explicativa.</t>
  </si>
  <si>
    <t>COMEY</t>
  </si>
  <si>
    <t>Tem R$ 336 de competência 2025: fica em 2026 (exercício encerrado), é nota explicativa.</t>
  </si>
  <si>
    <t>G Salvy</t>
  </si>
  <si>
    <t>Tem R$ 328 de competência 2025: fica em 2026 (exercício encerrado), é nota explicativa.</t>
  </si>
  <si>
    <t>NEO AUTOPOSTO</t>
  </si>
  <si>
    <t>Tem R$ 321 de competência 2025: fica em 2026 (exercício encerrado), é nota explicativa.</t>
  </si>
  <si>
    <t>WATI.IO* WATI.IO</t>
  </si>
  <si>
    <t>Tem R$ 318 de competência 2025: fica em 2026 (exercício encerrado), é nota explicativa.</t>
  </si>
  <si>
    <t>Pix enviado para EGIDIO FRASKE GARCIA</t>
  </si>
  <si>
    <t>IUGU*SALVYLTDA Curitiba BRA</t>
  </si>
  <si>
    <t>Tem R$ 110 de competência 2025: fica em 2026 (exercício encerrado), é nota explicativa. Tem R$ 189 de competência 2025: fica em 2026 (exercício encerrado), é nota explicativa.</t>
  </si>
  <si>
    <t>AJF COMERCIO DE MOVEIS 7 de 10</t>
  </si>
  <si>
    <t>NEIMARCOSDASILVA</t>
  </si>
  <si>
    <t>Tem R$ 65 de competência 2025: fica em 2026 (exercício encerrado), é nota explicativa. Tem R$ 30 de competência 2025: fica em 2026 (exercício encerrado), é nota explicativa. Tem R$ 90 de competência 2025: fica em 2026 (exercício encerrado), é nota explicativa.</t>
  </si>
  <si>
    <t>IG Salvy</t>
  </si>
  <si>
    <t>Tem R$ 269 de competência 2025: fica em 2026 (exercício encerrado), é nota explicativa.</t>
  </si>
  <si>
    <t>Bonificações Ifood Benefícios Gabriela Borca Zoop Tecnologia &amp; Instituicao de Pagamento S.A.</t>
  </si>
  <si>
    <t>Tem R$ 265 de competência 2025: fica em 2026 (exercício encerrado), é nota explicativa.</t>
  </si>
  <si>
    <t>Bonificações Ifood Benefícios Emanuel Alderete Zoop Tecnologia &amp; Instituicao de Pagamento S.A.</t>
  </si>
  <si>
    <t>STACKBLITZ</t>
  </si>
  <si>
    <t>BARRANKO</t>
  </si>
  <si>
    <t>Tem R$ 237 de competência 2025: fica em 2026 (exercício encerrado), é nota explicativa.</t>
  </si>
  <si>
    <t>ORINTER TOUR E TRAVEL (Parcela 9 de 10)</t>
  </si>
  <si>
    <t>Tem R$ 232 de competência 2025: fica em 2026 (exercício encerrado), é nota explicativa.</t>
  </si>
  <si>
    <t>MAGALUPAY*KABUM 5 de 10</t>
  </si>
  <si>
    <t>Tem R$ 221 de competência 2025: fica em 2026 (exercício encerrado), é nota explicativa.</t>
  </si>
  <si>
    <t>Influenciadores - Jés - Influenciadores - Jéssica</t>
  </si>
  <si>
    <t>Tem R$ 200 de competência 2025: fica em 2026 (exercício encerrado), é nota explicativa.</t>
  </si>
  <si>
    <t>PETIT PETIT BISTR</t>
  </si>
  <si>
    <t>Tem R$ 185 de competência 2025: fica em 2026 (exercício encerrado), é nota explicativa.</t>
  </si>
  <si>
    <t>VNTG, INC.</t>
  </si>
  <si>
    <t>Tem R$ 180 de competência 2025: fica em 2026 (exercício encerrado), é nota explicativa.</t>
  </si>
  <si>
    <t>DEVOL ENVIADA PIX</t>
  </si>
  <si>
    <t>Tem R$ 40 de competência 2025: fica em 2026 (exercício encerrado), é nota explicativa. Tem R$ 20 de competência 2025: fica em 2026 (exercício encerrado), é nota explicativa. Tem R$ 97 de competência 2025: fica em 2026 (exercício encerrado), é nota explicativa.</t>
  </si>
  <si>
    <t>GARIBALDI BR 470</t>
  </si>
  <si>
    <t>Tem R$ 163 de competência 2025: fica em 2026 (exercício encerrado), é nota explicativa.</t>
  </si>
  <si>
    <t>PEX PEX-ONR</t>
  </si>
  <si>
    <t>Tem R$ 155 de competência 2025: fica em 2026 (exercício encerrado), é nota explicativa.</t>
  </si>
  <si>
    <t>LEANDRO PALLOTINO MONKEN VIEIRA</t>
  </si>
  <si>
    <t>Tem R$ 150 de competência 2025: fica em 2026 (exercício encerrado), é nota explicativa.</t>
  </si>
  <si>
    <t>Tem R$ 131 de competência 2025: fica em 2026 (exercício encerrado), é nota explicativa.</t>
  </si>
  <si>
    <t>MOBBIN.COM Compra internacional</t>
  </si>
  <si>
    <t>Tem R$ 115 de competência 2025: fica em 2026 (exercício encerrado), é nota explicativa.</t>
  </si>
  <si>
    <t>JAIR CLAUDIO CARVALHO DE JESUS</t>
  </si>
  <si>
    <t>AMAZON PRIME PMTS AM (USD 16,47 @ R$5,98)</t>
  </si>
  <si>
    <t>Tem R$ 99 de competência 2025: fica em 2026 (exercício encerrado), é nota explicativa.</t>
  </si>
  <si>
    <t>AMAZON PRIME PMTS AM</t>
  </si>
  <si>
    <t>Tem R$ 94 de competência 2025: fica em 2026 (exercício encerrado), é nota explicativa.</t>
  </si>
  <si>
    <t>NVOIP PLATAF*NVOIP RECARG</t>
  </si>
  <si>
    <t>Tem R$ 60 de competência 2025: fica em 2026 (exercício encerrado), é nota explicativa. Tem R$ 29 de competência 2025: fica em 2026 (exercício encerrado), é nota explicativa.</t>
  </si>
  <si>
    <t>AFFINITY ASSISTEN (Parcela 9 de 10)</t>
  </si>
  <si>
    <t>Tem R$ 88 de competência 2025: fica em 2026 (exercício encerrado), é nota explicativa.</t>
  </si>
  <si>
    <t>Compra parcelada 10 de 10 AFFINITY ASSISTEN</t>
  </si>
  <si>
    <t>FERRAGEM BELTRAME</t>
  </si>
  <si>
    <t>Tem R$ 84 de competência 2025: fica em 2026 (exercício encerrado), é nota explicativa.</t>
  </si>
  <si>
    <t>DNH*GODADDY#3696842272</t>
  </si>
  <si>
    <t>Tem R$ 76 de competência 2025: fica em 2026 (exercício encerrado), é nota explicativa.</t>
  </si>
  <si>
    <t>CLIP PAPELARIABRILHANTE</t>
  </si>
  <si>
    <t>Tem R$ 73 de competência 2025: fica em 2026 (exercício encerrado), é nota explicativa.</t>
  </si>
  <si>
    <t>X CORP. PAID FEATURES BASTROP TX</t>
  </si>
  <si>
    <t>Tem R$ 42 de competência 2025: fica em 2026 (exercício encerrado), é nota explicativa. Tem R$ 28 de competência 2025: fica em 2026 (exercício encerrado), é nota explicativa.</t>
  </si>
  <si>
    <t>PINGOOCASA</t>
  </si>
  <si>
    <t>Tem R$ 65 de competência 2025: fica em 2026 (exercício encerrado), é nota explicativa.</t>
  </si>
  <si>
    <t>ALIEXPRESS</t>
  </si>
  <si>
    <t>ZOHO-ZOHO CORP FLORIANOPOLIS SC</t>
  </si>
  <si>
    <t>Tem R$ 60 de competência 2025: fica em 2026 (exercício encerrado), é nota explicativa.</t>
  </si>
  <si>
    <t>sem identificação</t>
  </si>
  <si>
    <t>PADDLE.NET LEONARDOAI</t>
  </si>
  <si>
    <t>Tem R$ 54 de competência 2025: fica em 2026 (exercício encerrado), é nota explicativa.</t>
  </si>
  <si>
    <t>Serviços de Terceiros Reembols - Custos com Pessoal - 49.927.077 Juan Carlo Altmayer</t>
  </si>
  <si>
    <t>Tem R$ 45 de competência 2025: fica em 2026 (exercício encerrado), é nota explicativa.</t>
  </si>
  <si>
    <t>ALFAMAQUINASDE</t>
  </si>
  <si>
    <t>Tem R$ 39 de competência 2025: fica em 2026 (exercício encerrado), é nota explicativa.</t>
  </si>
  <si>
    <t>FREEPIK COMPANY</t>
  </si>
  <si>
    <t>Tem R$ 36 de competência 2025: fica em 2026 (exercício encerrado), é nota explicativa.</t>
  </si>
  <si>
    <t>X CORP PAID FEATURES</t>
  </si>
  <si>
    <t>Tem R$ 28 de competência 2025: fica em 2026 (exercício encerrado), é nota explicativa.</t>
  </si>
  <si>
    <t>Justy Estorno - Reembolsos/Estornos - Monte Regis Sociedade Individual de Advo</t>
  </si>
  <si>
    <t>Tem R$ 20 de competência 2025: fica em 2026 (exercício encerrado), é nota explicativa.</t>
  </si>
  <si>
    <t>Março/2026 — DRE contábil aberto por conta e fornecedor</t>
  </si>
  <si>
    <t>51</t>
  </si>
  <si>
    <t>53</t>
  </si>
  <si>
    <t>54</t>
  </si>
  <si>
    <t>Tem R$ 7.560 de competência 2025: fica em 2026 (exercício encerrado), é nota explicativa.</t>
  </si>
  <si>
    <t>65.279.421 JULIA THIESEN SCHERER</t>
  </si>
  <si>
    <t>62</t>
  </si>
  <si>
    <t>55, 56</t>
  </si>
  <si>
    <t>WEBSHARE RNW PROXY 42</t>
  </si>
  <si>
    <t>60</t>
  </si>
  <si>
    <t>NRI*NEW RELIC</t>
  </si>
  <si>
    <t>ELEVENLABS.IO</t>
  </si>
  <si>
    <t>NF FATURA DIGITALOCEAN.COM</t>
  </si>
  <si>
    <t>57</t>
  </si>
  <si>
    <t>52</t>
  </si>
  <si>
    <t>Fopag: DIAS BOLSA AUXILIO 03/2026: - Rúbrica 8797</t>
  </si>
  <si>
    <t>Fopag: Valor da Provisão 03/2026: - Rúbrica 1</t>
  </si>
  <si>
    <t>NF FATURA KABUM S.A.</t>
  </si>
  <si>
    <t>NF FORNECEDOR SEM</t>
  </si>
  <si>
    <t>46</t>
  </si>
  <si>
    <t>61</t>
  </si>
  <si>
    <t>SPEED IO - SERVICOS ESPECIALIZADOS LTDA -</t>
  </si>
  <si>
    <t>NF FATURA APPLE.COM/US</t>
  </si>
  <si>
    <t>NF 000.633.373 MERCADOLIVRE.COM ATIVIDADES DE INTERNET LTDA</t>
  </si>
  <si>
    <t>PRIME AMAZON PARTICIPACOES S/A</t>
  </si>
  <si>
    <t>SUPABASE INC</t>
  </si>
  <si>
    <t>WEWORK SERVICOS DE ESCRITORIO LTDA.</t>
  </si>
  <si>
    <t>CELESC DISTRIBUICAO S.A.</t>
  </si>
  <si>
    <t>RGE SUL DISTRIBUIDORA DE ENERGIA S.A.</t>
  </si>
  <si>
    <t>TAM LINHAS AEREAS S/A.</t>
  </si>
  <si>
    <t>GOL LINHAS AEREAS S.A.</t>
  </si>
  <si>
    <t>NF 000454488 STANGHERLIN SUPERMERCADOS LTDA</t>
  </si>
  <si>
    <t>NF RECIBO ESTACAO RODOVIARIA SANTA MARIA LTDA</t>
  </si>
  <si>
    <t>NF 000467365 STANGHERLIN SUPERMERCADOS LTDA</t>
  </si>
  <si>
    <t>NF 000308268 STANGHERLIN SUPERMERCADOS LTDA</t>
  </si>
  <si>
    <t>NF 000466897 STANGHERLIN SUPERMERCADOS LTDA</t>
  </si>
  <si>
    <t>NF 000002308 STANGHERLIN SUPERMERCADOS LTDA</t>
  </si>
  <si>
    <t>NF 000476500 STANGHERLIN SUPERMERCADOS LTDA</t>
  </si>
  <si>
    <t>NF 000466295 STANGHERLIN SUPERMERCADOS LTDA</t>
  </si>
  <si>
    <t>NF 000436962 STANGHERLIN SUPERMERCADOS LTDA</t>
  </si>
  <si>
    <t>NF 77325159 ATHILA WESLEY LIMA LACERDA MARKETING DIRETO</t>
  </si>
  <si>
    <t>NF 76336513 JOAO VITOR DE MORAIS ROCHA PF</t>
  </si>
  <si>
    <t>NF 76445998 GUILHERME CARDOSO PIRES PIZA</t>
  </si>
  <si>
    <t>NF 76646522 MARINA MULLER</t>
  </si>
  <si>
    <t>ORINTER VIAGENS E TURISMO S/A</t>
  </si>
  <si>
    <t>NF 77326242 ATHILA WESLEY LIMA LACERDA MARKETING DIRETO</t>
  </si>
  <si>
    <t>SERRA CANELA HOTEL LTDA</t>
  </si>
  <si>
    <t>NF 210254 VARGAS DOCES E FESTAS LTDA</t>
  </si>
  <si>
    <t>AMAZON SERVICOS DE VAREJO DO BRASIL LTDA.</t>
  </si>
  <si>
    <t>NF COMPRA DE 02/06/2025 VITALUZ</t>
  </si>
  <si>
    <t>NF 001761497 PAULO SERGIO PREZA FIGUEIRA LTDA</t>
  </si>
  <si>
    <t>ESPACO DA LUZ LTDA</t>
  </si>
  <si>
    <t>NF BOLETO INSTITUTO DE ESTUDOS DE PROTESTO DE TITULOS DO BRASIL - SECA</t>
  </si>
  <si>
    <t>NF BOLETO INSTITUTO DE ESTUDOS DE PROTESTO DE TITULOS DO BRASIL</t>
  </si>
  <si>
    <t>COPY MUNDI LTDA</t>
  </si>
  <si>
    <t>EMPRESA DE EDUCACAO PREVIDENCIARIA LTDA</t>
  </si>
  <si>
    <t>WITTE - COMERCIO E SERVICOS GRAFICOS LTDA. - EM RECUPERACAO</t>
  </si>
  <si>
    <t>NF 252984 INCENTIVALE MARKETING DE INCENTIVO LTDA</t>
  </si>
  <si>
    <t>48</t>
  </si>
  <si>
    <t>49</t>
  </si>
  <si>
    <t>NF RECIBO JAIR CLAUDIO CARVALHO DE JESUS</t>
  </si>
  <si>
    <t>58</t>
  </si>
  <si>
    <t>NF FATURA LINKEDIN</t>
  </si>
  <si>
    <t>NF GUIA JUNTA COMERCIAL DO RIO GRANDE DO SUL - EHCC</t>
  </si>
  <si>
    <t>NF GUIA INSTITUTO NACIONAL DA PROPRIEDADE INDUSTRIAL</t>
  </si>
  <si>
    <t>POLI ADVOGADOS ASSOCIADOS</t>
  </si>
  <si>
    <t>RODRIGUES &amp; LEMES ADVOGADOS ASSOCIADOS</t>
  </si>
  <si>
    <t>59</t>
  </si>
  <si>
    <t>45</t>
  </si>
  <si>
    <t>Tem R$ 7.500 de competência 2025: fica em 2026 (exercício encerrado), é nota explicativa.</t>
  </si>
  <si>
    <t>Tem R$ 6.835 de competência 2025: fica em 2026 (exercício encerrado), é nota explicativa.</t>
  </si>
  <si>
    <t>65.353.973 ALINE LEIDIANE TRINDADE DE OLIVEIRA</t>
  </si>
  <si>
    <t>53.499.057 GUSTAVO NAPOLEAO DE ALMEIDA AMANCIO</t>
  </si>
  <si>
    <t>LETICIA BARBOSA BLANCO CONSULTORIA EM TECNOLOGIA DA INFORMACAO LTDA</t>
  </si>
  <si>
    <t>65.949.971 MARIANA SEBALHOS JORGE</t>
  </si>
  <si>
    <t>52.172.246 CESAR DA SILVA PALACIOS RODRIGUES</t>
  </si>
  <si>
    <t>LAZULI GRAFICA &amp; EDITORA LTDA</t>
  </si>
  <si>
    <t>NF ND TRIBUNAL DE JUSTICA DO ESTADO DO RIO DE JANEIRO</t>
  </si>
  <si>
    <t>COMFY CLUB LTDA</t>
  </si>
  <si>
    <t>NF ESTORNO JUCIELI MADEIRA ALBUQUERQUE DE GODOY</t>
  </si>
  <si>
    <t>Abril/2026 — DRE contábil aberto por conta e fornecedor</t>
  </si>
  <si>
    <t>63</t>
  </si>
  <si>
    <t>64</t>
  </si>
  <si>
    <t>66</t>
  </si>
  <si>
    <t>67</t>
  </si>
  <si>
    <t>68</t>
  </si>
  <si>
    <t>69</t>
  </si>
  <si>
    <t>5.2.1.01.001 - CUSTOS COM SERVICOS DE TERCEIROS - INTERNOS SWILE DO BRASIL S.A. BOLETO PIX.20260402.101040 - GERADO AUTOMATICAMENTE PELO OMIE.CASH. PAGAMENTO DE QR CODE EFETUADO NO DIA 02/04/2026 PARA: SWILE DO BRASIL S A (26.401.688/0001-05) INSTITUICAO: 341 AGENCIA: 0057 CONTA: 0023691-1 NUMERO DA</t>
  </si>
  <si>
    <t>79</t>
  </si>
  <si>
    <t>71, 77</t>
  </si>
  <si>
    <t>ATLASSIAN</t>
  </si>
  <si>
    <t>NF FATURA CURSOR, AI POWERED IDE</t>
  </si>
  <si>
    <t>NF FATURA GODADDY SERVICOS ONLINE DO BRASIL LTDA. - CONTA A PAGAR GERADA A PARTIR DA COPIA DE OUTRA CONTA COM VENCIMENTO: 25/11/2025 E PARCELA:</t>
  </si>
  <si>
    <t>NF FATURA GITHUB, INC.</t>
  </si>
  <si>
    <t>72</t>
  </si>
  <si>
    <t>65</t>
  </si>
  <si>
    <t>70</t>
  </si>
  <si>
    <t>Fopag: DIAS BOLSA AUXILIO 04/2026: - Rúbrica 8797</t>
  </si>
  <si>
    <t>Fopag: Valor da Provisão 04/2026: - Rúbrica 1</t>
  </si>
  <si>
    <t>NF FATURA TESTES JUSFY</t>
  </si>
  <si>
    <t>NF 80546353 JUAN CARLO ALTMAYER STENZEL</t>
  </si>
  <si>
    <t>NF FATURA CLAUDE.AI SUBSCRIPTION</t>
  </si>
  <si>
    <t>PRIME AMAZON PARTICIPACOES - Licença de Sofware e Sistemas</t>
  </si>
  <si>
    <t>36.209.065 ANDREA DA COSTA LEMES</t>
  </si>
  <si>
    <t>CASA ONLINE COMERCIO E VAREJO LTDA</t>
  </si>
  <si>
    <t>ROSA MATERIAL DE CONSTRUCAO LTDA</t>
  </si>
  <si>
    <t>75</t>
  </si>
  <si>
    <t>76</t>
  </si>
  <si>
    <t>NF FATURA TAM LINHAS AEREAS S/A.</t>
  </si>
  <si>
    <t>NF 10157328 22793 CONSULTORIA EM TECNOLOGIA DA INFORMACAO LTDA</t>
  </si>
  <si>
    <t>NF 000293383 STANGHERLIN SUPERMERCADOS LTDA</t>
  </si>
  <si>
    <t>NF 000310067 STANGHERLIN SUPERMERCADOS LTDA</t>
  </si>
  <si>
    <t>NF 00029852 STANGHERLIN SUPERMERCADOS LTDA</t>
  </si>
  <si>
    <t>NF 000438217 STANGHERLIN SUPERMERCADOS LTDA</t>
  </si>
  <si>
    <t>NF 00291822 STANGHERLIN SUPERMERCADOS LTDA</t>
  </si>
  <si>
    <t>NF 000311764 STANGHERLIN SUPERMERCADOS LTDA</t>
  </si>
  <si>
    <t>NF 000479039 STANGHERLIN SUPERMERCADOS LTDA</t>
  </si>
  <si>
    <t>NF 000311418 STANGHERLIN SUPERMERCADOS LTDA</t>
  </si>
  <si>
    <t>NF 000467923 STANGHERLIN SUPERMERCADOS LTDA</t>
  </si>
  <si>
    <t>NF 000309471 STANGHERLIN SUPERMERCADOS LTDA</t>
  </si>
  <si>
    <t>PAYPAL SHELLBOX - Taxi ou Transportes Executivos</t>
  </si>
  <si>
    <t>NF FATURA AIRBNB PLATAFORMA DIGITAL LTDA</t>
  </si>
  <si>
    <t>R R TECNOLOGIA DA INFORMACAO LTDA</t>
  </si>
  <si>
    <t>PEDRO DE BARROS MACHADO</t>
  </si>
  <si>
    <t>VM PARRAS</t>
  </si>
  <si>
    <t>PRESENTES E GIFTS LTDA</t>
  </si>
  <si>
    <t>NF 001773622 PAULO SERGIO PREZA FIGUEIRA LTDA</t>
  </si>
  <si>
    <t>NF FATURA OPERADOR NACIONAL DO SISTEMA DE REGISTRO ELETRONICO DE IMOVE</t>
  </si>
  <si>
    <t>NF 112404 SINDICATO DOS LOJISTAS DO COMERCIO DE PORTO ALEGRE</t>
  </si>
  <si>
    <t>GRAFICA E EDITORA EXPRESSA LTDA</t>
  </si>
  <si>
    <t>NF 252984 BOLETO BFD3C5E7-09C8-43B4-9 INCENTIVALE MARKETING DE INCENTIVO LTDA</t>
  </si>
  <si>
    <t>NF RECIBO HEITOR AMARAL RIBEIRO</t>
  </si>
  <si>
    <t>NF RECIBO ANA GRAZIELLI SOUZA DE OLIVEIRA ASSIS</t>
  </si>
  <si>
    <t>NF GUIA SECRETARIA DA FAZENDA</t>
  </si>
  <si>
    <t>NF 29409172356234504 BOLETO BOL.20260428.111608 INSTITUTO NACIONAL DA PROPRIEDADE INDUSTRIAL</t>
  </si>
  <si>
    <t>NF 29409172356234466 INSTITUTO NACIONAL DA PROPRIEDADE INDUSTRIAL</t>
  </si>
  <si>
    <t>NF 29409172356234458 INSTITUTO NACIONAL DA PROPRIEDADE INDUSTRIAL</t>
  </si>
  <si>
    <t>NF 29409172356234482 INSTITUTO NACIONAL DA PROPRIEDADE INDUSTRIAL</t>
  </si>
  <si>
    <t>NF 29409172356234490 INSTITUTO NACIONAL DA PROPRIEDADE INDUSTRIAL</t>
  </si>
  <si>
    <t>NF 29409172356234474 INSTITUTO NACIONAL DA PROPRIEDADE INDUSTRIAL</t>
  </si>
  <si>
    <t>63, 74</t>
  </si>
  <si>
    <t>73</t>
  </si>
  <si>
    <t>78</t>
  </si>
  <si>
    <t>55.313.477 PEDRO HENRIQUE CANDIDO SANTOS</t>
  </si>
  <si>
    <t>MAGAZINE LUIZA S/A</t>
  </si>
  <si>
    <t>NF 6036 VARGAS DOCES E FESTAS LTDA</t>
  </si>
  <si>
    <t>NF FATURA LG ELECTRONICS DO BRASIL LTDA</t>
  </si>
  <si>
    <t>NF ESTRONO PABLO RUAN SABINO CUNHA</t>
  </si>
  <si>
    <t>NF ESTORNO ANDERSON SANTOS OLIVEIRA</t>
  </si>
  <si>
    <t>NF ESTORNO VALTER FACHINI JUNIOR</t>
  </si>
  <si>
    <t>NF ESTORNO JULIA NUNES BARBOSA</t>
  </si>
  <si>
    <t>Maio/2026 — DRE contábil aberto por conta e fornecedor</t>
  </si>
  <si>
    <t>100</t>
  </si>
  <si>
    <t>101</t>
  </si>
  <si>
    <t>102</t>
  </si>
  <si>
    <t>116</t>
  </si>
  <si>
    <t>84</t>
  </si>
  <si>
    <t>88</t>
  </si>
  <si>
    <t>HAGROEX LTDA</t>
  </si>
  <si>
    <t>s Mensal- Ramon de Sousa Pereira [Oficial]</t>
  </si>
  <si>
    <t>Tem R$ 15.500 de competência 2025: fica em 2026 (exercício encerrado), é nota explicativa.</t>
  </si>
  <si>
    <t>Mensal - Ramon - s - Ramon de Sousa Pereira</t>
  </si>
  <si>
    <t>Tem R$ 7.307 de competência 2025: fica em 2026 (exercício encerrado), é nota explicativa.</t>
  </si>
  <si>
    <t>Ramon de Sousa Pereira</t>
  </si>
  <si>
    <t>Tem R$ 1.550 de competência 2025: fica em 2026 (exercício encerrado), é nota explicativa.</t>
  </si>
  <si>
    <t>55.743.508 JULIANA HELENA VALLE FRASAO</t>
  </si>
  <si>
    <t>117</t>
  </si>
  <si>
    <t>108</t>
  </si>
  <si>
    <t>104</t>
  </si>
  <si>
    <t>105</t>
  </si>
  <si>
    <t>ZEE FILMS PRODUCOES LTDA</t>
  </si>
  <si>
    <t>PAYPAL *PROXMOXSERV</t>
  </si>
  <si>
    <t>BRIGHT DATA</t>
  </si>
  <si>
    <t>INDIVIDUALE</t>
  </si>
  <si>
    <t>ANTHROPIC CLAUDE TEAM</t>
  </si>
  <si>
    <t>107</t>
  </si>
  <si>
    <t>109</t>
  </si>
  <si>
    <t>112</t>
  </si>
  <si>
    <t>113</t>
  </si>
  <si>
    <t>114</t>
  </si>
  <si>
    <t>PAYPRO-CHARGE</t>
  </si>
  <si>
    <t>DEBITO DIRETO SERVICOS DE PAGAMENTOS S.A.</t>
  </si>
  <si>
    <t>Juros Pagos</t>
  </si>
  <si>
    <t>Fopag: DIAS BOLSA AUXILIO 05/2026: - Rúbrica 8797</t>
  </si>
  <si>
    <t>Fopag: Valor da Provisão 05/2026: - Rúbrica 1</t>
  </si>
  <si>
    <t>BRASIL TECPAR SERVICOS DE TELECOMUNICACOES S.A</t>
  </si>
  <si>
    <t>CHYPPS COMERCIO E IMPORTACAO DE PRODUTOS DE TECNOLOGIA LTDA</t>
  </si>
  <si>
    <t>RECEBIMENTO ALIEXPRESS NF 8208452988187313</t>
  </si>
  <si>
    <t>STARK INDUSTRIA E COMERCIO LTDA</t>
  </si>
  <si>
    <t>80, 103</t>
  </si>
  <si>
    <t>106</t>
  </si>
  <si>
    <t>81, 110</t>
  </si>
  <si>
    <t>de Contas para OMIEXPERIENCE LTDA</t>
  </si>
  <si>
    <t>Tem R$ 459 de competência 2025: fica em 2026 (exercício encerrado), é nota explicativa. Tem R$ 2.750 de competência 2025: fica em 2026 (exercício encerrado), é nota explicativa.</t>
  </si>
  <si>
    <t>Tem R$ 2.905 de competência 2025: fica em 2026 (exercício encerrado), é nota explicativa. Tem R$ 450 de competência 2025: fica em 2026 (exercício encerrado), é nota explicativa.</t>
  </si>
  <si>
    <t>Despesas com Software Fixed Duedate Omiexperience Ltda.</t>
  </si>
  <si>
    <t>Tem R$ 450 de competência 2025: fica em 2026 (exercício encerrado), é nota explicativa.</t>
  </si>
  <si>
    <t>ANTHROPIC</t>
  </si>
  <si>
    <t>Nosso Número - Despesas com Software - Omiexperience Ltda.</t>
  </si>
  <si>
    <t>Tem R$ 173 de competência 2025: fica em 2026 (exercício encerrado), é nota explicativa.</t>
  </si>
  <si>
    <t>MAGNIFIC API</t>
  </si>
  <si>
    <t>VMO*VIMEO.COM</t>
  </si>
  <si>
    <t>Tem R$ 1.558 de competência 2025: fica em 2026 (exercício encerrado), é nota explicativa.</t>
  </si>
  <si>
    <t>ODIL DAS CHAGAS</t>
  </si>
  <si>
    <t>BAITATECH ASSISTENCIA TECNICA LTDA</t>
  </si>
  <si>
    <t>GABRIELA SILVA BORCA</t>
  </si>
  <si>
    <t>ALEXSANDRO DORNELES TEIXEIRA</t>
  </si>
  <si>
    <t>MATHEUS OLIVEIRA DOS SANTOS</t>
  </si>
  <si>
    <t>PANIFICIO PARTENON LTDA</t>
  </si>
  <si>
    <t>EXPRESSO SAO MIGUEL S/A</t>
  </si>
  <si>
    <t>BRUNO JOSE SOBREIRA CAVALIERI</t>
  </si>
  <si>
    <t>HOTELARIA ACCOR BRASIL S/A</t>
  </si>
  <si>
    <t>AIRBNB PLATAFORMA DIGITAL LTDA</t>
  </si>
  <si>
    <t>HOTELARIA POA LTDA.</t>
  </si>
  <si>
    <t>PROVISÃO SEM NF - MATHEUS DOS SANTOS SACCOL PF - #74614180</t>
  </si>
  <si>
    <t>MEDEM DELIVERY COMERCIO DE PRODUTOS DESCARTAVEIS LTDA</t>
  </si>
  <si>
    <t>PAULO SERGIO PREZA FIGUEIRA LTDA</t>
  </si>
  <si>
    <t>HD COMERCIO ELETRONICO LTDA</t>
  </si>
  <si>
    <t>R.S.A. MARCELINO ATACADO E VAREJO DE PRODUTOS ELETRONICOS</t>
  </si>
  <si>
    <t>JOAO LUIZ SCREMIN</t>
  </si>
  <si>
    <t>ORDEM DOS ADVOGADOS DO BRASIL - SECCAO DE SAO PAULO</t>
  </si>
  <si>
    <t>CURRY LABS TECNOLOGIA LTDA</t>
  </si>
  <si>
    <t>HR2TECH SOLUCOES EM TELECOMUNICACOES LTDA</t>
  </si>
  <si>
    <t>MEGA BYTE MAGAZINE LTDA</t>
  </si>
  <si>
    <t>63.570.622 JEFFERSON MITSUNORE WATARI MARIO</t>
  </si>
  <si>
    <t>STATUS SOM E GAMES LTDA</t>
  </si>
  <si>
    <t>INCENTIVALE MARKETING DE INCENTIVO LTDA</t>
  </si>
  <si>
    <t>INSTITUTO NACIONAL DE DIREITO BANCARIO LTDA</t>
  </si>
  <si>
    <t>Tem R$ 1.500 de competência 2025: fica em 2026 (exercício encerrado), é nota explicativa.</t>
  </si>
  <si>
    <t>HEITOR AMARAL RIBEIRO</t>
  </si>
  <si>
    <t>AVA BRASIL EDUCACAO E TECNOLOGIA LTDA - NF CANCELADA</t>
  </si>
  <si>
    <t>INSTITUTO NACIONAL DA PROPRIEDADE INDUSTRIAL</t>
  </si>
  <si>
    <t>NexForce - Hubspot</t>
  </si>
  <si>
    <t>Tem R$ 15.331 de competência 2025: fica em 2026 (exercício encerrado), é nota explicativa.</t>
  </si>
  <si>
    <t>97</t>
  </si>
  <si>
    <t>Tem R$ 4.780 de competência 2025: fica em 2026 (exercício encerrado), é nota explicativa.</t>
  </si>
  <si>
    <t>111</t>
  </si>
  <si>
    <t>Tem R$ 3.475 de competência 2025: fica em 2026 (exercício encerrado), é nota explicativa. Tem R$ 119 de competência 2025: fica em 2026 (exercício encerrado), é nota explicativa. Tem R$ 117 de competência 2025: fica em 2026 (exercício encerrado), é nota explicativa.</t>
  </si>
  <si>
    <t>82</t>
  </si>
  <si>
    <t>115</t>
  </si>
  <si>
    <t>83</t>
  </si>
  <si>
    <t>85</t>
  </si>
  <si>
    <t>86</t>
  </si>
  <si>
    <t>87</t>
  </si>
  <si>
    <t>99</t>
  </si>
  <si>
    <t>Tem R$ 6.667 de competência 2025: fica em 2026 (exercício encerrado), é nota explicativa.</t>
  </si>
  <si>
    <t>THIAGO OLIVEIRA DIAS TECNOLOGIA DA INFORMACAO LTDA - NF CANCELADA</t>
  </si>
  <si>
    <t>25 ZANETTE E OPPELT ADVOGADOS ASSOCIADOS - ME</t>
  </si>
  <si>
    <t>62.554.934 MATHEUS OLIVEIRA DOS SANTOS - NF CANCELADA</t>
  </si>
  <si>
    <t>Tem R$ 5.867 de competência 2025: fica em 2026 (exercício encerrado), é nota explicativa.</t>
  </si>
  <si>
    <t>Consultoria em Tecnologia da Informacao</t>
  </si>
  <si>
    <t>PROVISÃO FORNE LUIS EMANUEL RIGON ALDERETE PF</t>
  </si>
  <si>
    <t>PROVISÃO FORNE LUIS EMANUEL RIGON ALDERETE PF - #9357829</t>
  </si>
  <si>
    <t>IFood Beneficios</t>
  </si>
  <si>
    <t>Tem R$ 4.080 de competência 2025: fica em 2026 (exercício encerrado), é nota explicativa.</t>
  </si>
  <si>
    <t>ANGELA TERESINHA SACCOL BAGOLIN</t>
  </si>
  <si>
    <t>CONNECT1000 CONSULTORIA EM GESTAO EMPRESARIAL LTDA</t>
  </si>
  <si>
    <t>DUMMEL CIA LTDA</t>
  </si>
  <si>
    <t>HENRIQUE DEVICARI DE ARRUDA - MERCADO</t>
  </si>
  <si>
    <t>JOB PIZZARIA LTDA</t>
  </si>
  <si>
    <t>98</t>
  </si>
  <si>
    <t>89</t>
  </si>
  <si>
    <t>90</t>
  </si>
  <si>
    <t>91</t>
  </si>
  <si>
    <t>92</t>
  </si>
  <si>
    <t>93</t>
  </si>
  <si>
    <t>94</t>
  </si>
  <si>
    <t>95</t>
  </si>
  <si>
    <t>96</t>
  </si>
  <si>
    <t>BIANCA MEDRADO DE CARVALHO</t>
  </si>
  <si>
    <t>ALEXANDRE CARVALHO</t>
  </si>
  <si>
    <t>MARGARETH RODRIGUES OLIVEIRA GUIMARAES</t>
  </si>
  <si>
    <t>JOAO PAULO ZAGATTI</t>
  </si>
  <si>
    <t>EDGLEISON EMANUEL XIMENES</t>
  </si>
  <si>
    <t>Junho/2026 — DRE contábil aberto por conta e fornecedor</t>
  </si>
  <si>
    <t>120, 134</t>
  </si>
  <si>
    <t>119</t>
  </si>
  <si>
    <t>121</t>
  </si>
  <si>
    <t>122</t>
  </si>
  <si>
    <t>137</t>
  </si>
  <si>
    <t>118</t>
  </si>
  <si>
    <t>123</t>
  </si>
  <si>
    <t>JOAO VICTOR XAVIER DA SILVA 08983862688</t>
  </si>
  <si>
    <t>WARB DESENVOLVIMENTO DE SOFTWARES LTDA</t>
  </si>
  <si>
    <t>02070665 - 005/025 - SWILE DO BRASIL S.A.</t>
  </si>
  <si>
    <t>138</t>
  </si>
  <si>
    <t>129</t>
  </si>
  <si>
    <t>125</t>
  </si>
  <si>
    <t>133</t>
  </si>
  <si>
    <t>1043181 - 009/026 - TURBOCLOUD</t>
  </si>
  <si>
    <t>OCRDATASOLUTIONS</t>
  </si>
  <si>
    <t>PAYPAL *ALTWEBLLCFZ</t>
  </si>
  <si>
    <t>STRIPE-Z.AI</t>
  </si>
  <si>
    <t>ANTHROPICT</t>
  </si>
  <si>
    <t>136</t>
  </si>
  <si>
    <t>124, 128</t>
  </si>
  <si>
    <t>127, 135</t>
  </si>
  <si>
    <t>126, 132</t>
  </si>
  <si>
    <t>58320 - 001/001 - DOCSALES</t>
  </si>
  <si>
    <t>57736 - 001/001 - DOCSALES</t>
  </si>
  <si>
    <t>Fopag: DIAS BOLSA AUXILIO 06/2026: - Rúbrica 8797</t>
  </si>
  <si>
    <t>Fopag: Valor da Provisão 06/2026: - Rúbrica 1</t>
  </si>
  <si>
    <t>PILOTO COMERCIO LTDA</t>
  </si>
  <si>
    <t>130</t>
  </si>
  <si>
    <t>2075639 - 001/001 - APILAYER</t>
  </si>
  <si>
    <t>CLAUDE.AI SUBSCRIPTION</t>
  </si>
  <si>
    <t>RGE ENERGIA ELETRICA</t>
  </si>
  <si>
    <t>51.199.027 BIBIANA PAIM DA SILVA</t>
  </si>
  <si>
    <t>000.037.922 - 001/001 - MERCADOLIVRE</t>
  </si>
  <si>
    <t>10553804 - 001/001 - PEDRO HENRIQUE CANDIDO SANTOS</t>
  </si>
  <si>
    <t>000468565 - 001/001 - STANGHERLIN SUPERMERCADOS LTDA</t>
  </si>
  <si>
    <t>000319910 - 001/001 - STANGHERLIN SUPERMERCADOS LTDA</t>
  </si>
  <si>
    <t>000298712 - 001/001 - STANGHERLIN SUPERMERCADOS LTDA</t>
  </si>
  <si>
    <t>000318928 - 001/001 - STANGHERLIN SUPERMERCADOS LTDA</t>
  </si>
  <si>
    <t>000467677 - 001/001 - STANGHERLIN SUPERMERCADOS LTDA</t>
  </si>
  <si>
    <t>000446155 - 001/001 - STANGHERLIN SUPERMERCADOS LTDA</t>
  </si>
  <si>
    <t>000479792 - 001/001 - STANGHERLIN SUPERMERCADOS LTDA</t>
  </si>
  <si>
    <t>000488533 - 001/001 - STANGHERLIN SUPERMERCADOS LTDA</t>
  </si>
  <si>
    <t>000486013 - 001/001 - STANGHERLIN SUPERMERCADOS LTDA</t>
  </si>
  <si>
    <t>000446038 - 001/001 - STANGHERLIN SUPERMERCADOS LTDA</t>
  </si>
  <si>
    <t>000487017 - 001/001 - STANGHERLIN SUPERMERCADOS LTDA</t>
  </si>
  <si>
    <t>000466840 - 001/001 - STANGHERLIN SUPERMERCADOS LTDA</t>
  </si>
  <si>
    <t>000300530 - 001/001 - STANGHERLIN SUPERMERCADOS LTDA</t>
  </si>
  <si>
    <t>NOVOTEL PORTO ALEGRE</t>
  </si>
  <si>
    <t>CHEGA DIA 08/08 - 001/001 - HOTELARIA POA LTDA.</t>
  </si>
  <si>
    <t>ARMAZEM LESTE COMERCIO E DISTRIBUICAO LTDA</t>
  </si>
  <si>
    <t>HURTADO PERES COMERCIO DE ALIMENTOS LTDA</t>
  </si>
  <si>
    <t>MALVAGLIA COMERCIAL LTDA</t>
  </si>
  <si>
    <t>COMERCIO DE MEDICAMENTOS BRAIR LTDA</t>
  </si>
  <si>
    <t>MIX UTILIDADES - TRINDADE</t>
  </si>
  <si>
    <t>3441 - 001/001 - NEIMARCOSDASILVA</t>
  </si>
  <si>
    <t>MR UTILIDADES E FERRAGENS LTDA - FILIAL</t>
  </si>
  <si>
    <t>GLOBAL LAMPADAS LTDA</t>
  </si>
  <si>
    <t>FOKA ACESSORIOS E UTENSILIOS DOMESTICOS LTDA</t>
  </si>
  <si>
    <t>CASAS DO CANO LTDA MATRIZ</t>
  </si>
  <si>
    <t>001831521 - 001/001 - CLIP PAPELARIA BRILHANTE</t>
  </si>
  <si>
    <t>VIKINGS DIGITAL LTDA</t>
  </si>
  <si>
    <t>003.371.655 - 001/004 - MERCADOLIVRE</t>
  </si>
  <si>
    <t>003.374.795 - 001/004 - MERCADOLIVRE</t>
  </si>
  <si>
    <t>000.010.824 - 001/001 - MERCADOLIVRE</t>
  </si>
  <si>
    <t>CUPOM FISCAL - 001/003 - AC SANTA MARIA</t>
  </si>
  <si>
    <t>56.942.792 ERNESTO SACCHET FILHO</t>
  </si>
  <si>
    <t>4 - 001/001 - MANDA PARTICIPACOES LTDA</t>
  </si>
  <si>
    <t>ANDRIELLY DA FONSECA LANNES FERREIRA 17652653711</t>
  </si>
  <si>
    <t>RR SERVICOS DIGITAIS DO BRASIL LTDA</t>
  </si>
  <si>
    <t>ANA GRAZIELLI SOUZA SOCIEDADE INDIVIDUAL DE ADVOCACIA</t>
  </si>
  <si>
    <t>PAGAR.ME TARIFAS BANCARIAS</t>
  </si>
  <si>
    <t>PAGAR.ME LINK - - 001/001 - PAGARME S</t>
  </si>
  <si>
    <t>120</t>
  </si>
  <si>
    <t>54.308.327 ISABEL GOIS MARCELINO</t>
  </si>
  <si>
    <t>MARIANA SEBALHOS JORGE SOCIEDADE INDIVIDUAL DE ADVOCACIA</t>
  </si>
  <si>
    <t>63.001.343 CELINE MICKAELA GUTERRES DA SILVA</t>
  </si>
  <si>
    <t>51.013.814 ANDRIELI ZANON</t>
  </si>
  <si>
    <t>67.063.978 ARIANA PEIXOTO NORATO CORREA</t>
  </si>
  <si>
    <t>2408621 IFOOD BENEFICIOS E SERVICOS LTDA. -</t>
  </si>
  <si>
    <t>2467865 - 001/001 - IFOOD BENEFICIOS E SERVICOS LTDA.</t>
  </si>
  <si>
    <t>2404265 - 001/001 - IFOOD BENEFICIOS E SERVICOS LTDA.</t>
  </si>
  <si>
    <t>02461047 - 001/001 - IFOOD BENEFICIOS E SERVICOS LTDA.</t>
  </si>
  <si>
    <t>131</t>
  </si>
  <si>
    <t>1936 - 012/012 - GUIA DA ALMA</t>
  </si>
  <si>
    <t>FISIA COMERCIO DE PRODUTOS ESPORTIVOS SA</t>
  </si>
  <si>
    <t>197563 - 001/001 - ESPORTIVA CALCADOS</t>
  </si>
  <si>
    <t>198036 - 001/001 - ESPORTIVA CALCADOS</t>
  </si>
  <si>
    <t>15481 - 001/001 - HBINATO GRAFICA EXPRESSA - COMUNICACAO VISUAL</t>
  </si>
  <si>
    <t>222639 - 001/001 - VARGAS DOCES E FESTAS</t>
  </si>
  <si>
    <t>222629 - 001/001 - VARGAS DOCES E FESTAS</t>
  </si>
  <si>
    <t>ANTONIETA DE FATIMA PEREIRA</t>
  </si>
  <si>
    <t>R S BENTO MESOMO - COMERCIO DE ALIMENTACOES LTDA</t>
  </si>
  <si>
    <t>14 - 001/001 - VARGAS DOCES E FESTAS</t>
  </si>
  <si>
    <t>220030 - 001/001 - VARGAS DOCES E FESTAS</t>
  </si>
  <si>
    <t>Nota explicativa e pendências da Jusfy — a Syhus não precisa fazer nada aqui</t>
  </si>
  <si>
    <t>A: a única nota explicativa — competência 2025 que caiu em 2026 (o exercício de 2025 já fechou, então fica em 2026), por fornecedor, pra auditoria e CFO. B: pendências que dependem de resposta da Jusfy (cada uma com o valor e o que falta). C: parece erro, mas o P&amp;L diz que o valor é devido — não mexer sem a Jusfy confirmar.</t>
  </si>
  <si>
    <t>A. NOTA EXPLICATIVA — Competência 2025 lançada em 2026 (fica em 2026: exercício de 2025 encerrado)</t>
  </si>
  <si>
    <t>Linha do P&amp;L</t>
  </si>
  <si>
    <t>Explicação</t>
  </si>
  <si>
    <t>4.1.6.01.007 Serviços de Terceiros - Internos</t>
  </si>
  <si>
    <t>Swile (bônus e benefício)</t>
  </si>
  <si>
    <t>Bônus de líderes de dez/2025 pago via Swile em jan (NF 1762064). A Controladoria confirmou na rodada anterior que o excesso de jan é bônus, e no gerencial ele está em dez/2025.</t>
  </si>
  <si>
    <t>6.2.1.03.003 Custo de APIs de Terceiros</t>
  </si>
  <si>
    <t>Digesto Pesquisa e Banco de Dados Ltda (Jusbrasil)</t>
  </si>
  <si>
    <t>Este fornecedor fatura depois do mês de uso (nos outros meses a NF de um mês entra no seguinte). A NF 37368 (R$ 138.362) lançada(s) em jan não correspondem a nenhum mês de 2026: são de dez/2025. Sair da despesa de 2026.</t>
  </si>
  <si>
    <t>6.2.1.03.001 Custo de Hospedagem e Infraestrutura (Cloud)</t>
  </si>
  <si>
    <t>Amazon Cloud</t>
  </si>
  <si>
    <t>Este fornecedor fatura depois do mês de uso (nos outros meses a NF de um mês entra no seguinte). A NF s/nº (R$ 107.263) lançada(s) em jan não correspondem a nenhum mês de 2026: são de dez/2025. Sair da despesa de 2026.</t>
  </si>
  <si>
    <t>Vir Servicos de Informacoes Ltda (Correct Data)</t>
  </si>
  <si>
    <t>Este fornecedor fatura depois do mês de uso (nos outros meses a NF de um mês entra no seguinte). A NF 6289 (R$ 84.888) lançada(s) em jan não correspondem a nenhum mês de 2026: são de dez/2025. Sair da despesa de 2026.</t>
  </si>
  <si>
    <t>Nova Dd Positivo Representacoes Ltda.</t>
  </si>
  <si>
    <t>Este fornecedor fatura depois do mês de uso (nos outros meses a NF de um mês entra no seguinte). A NF 397 (R$ 39.536) lançada(s) em jan não correspondem a nenhum mês de 2026: são de dez/2025. Sair da despesa de 2026.</t>
  </si>
  <si>
    <t>Juliano Lima</t>
  </si>
  <si>
    <t>NF 30 de R$ 30.000 lançada em Jan tem o valor de dez/2025 no ERP (ERP dez/2025 salário); em 2026 o valor é outro. É competência 2025: sai da despesa de 2026 (contra a provisão de 2025).</t>
  </si>
  <si>
    <t>Judit Tecnologia da Informacao Ltda</t>
  </si>
  <si>
    <t>Este fornecedor fatura depois do mês de uso (nos outros meses a NF de um mês entra no seguinte). A NF 504 (R$ 28.491) lançada(s) em jan não correspondem a nenhum mês de 2026: são de dez/2025. Sair da despesa de 2026.</t>
  </si>
  <si>
    <t>Karine Gomberg</t>
  </si>
  <si>
    <t>NF 53 de R$ 22.500 entrou em jan, mas o gerencial de jan é outra nota. É competência dez/2025: sai da despesa de 2026 (contra a provisão de 2025).</t>
  </si>
  <si>
    <t>Bruno José Sobreira Cavalieri</t>
  </si>
  <si>
    <t>NF 1 de R$ 22.000 lançada em Jan tem o valor de dez/2025 no ERP (ERP dez/2025 salário); em 2026 o valor é outro. É competência 2025: sai da despesa de 2026 (contra a provisão de 2025).</t>
  </si>
  <si>
    <t>Clarissa Castanha</t>
  </si>
  <si>
    <t>NF 202600000000028 de R$ 22.000 lançada em Jan tem o valor de dez/2025 no ERP (ERP dez/2025 salário); em 2026 o valor é outro. É competência 2025: sai da despesa de 2026 (contra a provisão de 2025).</t>
  </si>
  <si>
    <t>6.2.1.03.002 Custo de Licença de Sofware e Sistemas</t>
  </si>
  <si>
    <t>Appcues</t>
  </si>
  <si>
    <t>Este fornecedor fatura depois do mês de uso (nos outros meses a NF de um mês entra no seguinte). A NF s/nº (R$ 20.036) lançada(s) em jan não correspondem a nenhum mês de 2026: são de dez/2025. Sair da despesa de 2026.</t>
  </si>
  <si>
    <t>Big Data Solucoes em Tecnologia de Informatica S.A.</t>
  </si>
  <si>
    <t>Este fornecedor fatura depois do mês de uso (nos outros meses a NF de um mês entra no seguinte). A NF 152 (R$ 19.922) lançada(s) em jan não correspondem a nenhum mês de 2026: são de dez/2025. Sair da despesa de 2026.</t>
  </si>
  <si>
    <t>4.1.2.01.003 Licença de Sofware e Sistemas (SaaS)</t>
  </si>
  <si>
    <t>Messaging &amp; Live Chat + Treble.AI</t>
  </si>
  <si>
    <t>NF de R$ 15.828 entrou em jan, mas o gerencial de jan é outra nota. É competência dez/2025: sai da despesa de 2026 (contra a provisão de 2025).</t>
  </si>
  <si>
    <t>Guilherme Piza</t>
  </si>
  <si>
    <t>NF 31 de R$ 15.385 lançada em Jan tem o valor de dez/2025 no ERP (ERP dez/2025 salário); em 2026 o valor é outro. É competência 2025: sai da despesa de 2026 (contra a provisão de 2025).</t>
  </si>
  <si>
    <t>6.2.1.01.001 Custos com Serviços de Terceiros - Internos</t>
  </si>
  <si>
    <t>Guilherme Lacerda de Avila</t>
  </si>
  <si>
    <t>NF 7 de R$ 14.250 lançada em Jan tem o valor de dez/2025 no ERP (ERP dez/2025 bônus); em 2026 o valor é outro. É competência 2025: sai da despesa de 2026 (contra a provisão de 2025).</t>
  </si>
  <si>
    <t>Bianca da Silveira Lessa</t>
  </si>
  <si>
    <t>NF 2 de R$ 13.500 lançada em Jan tem o valor de dez/2025 no ERP (ERP dez/2025 salário); em 2026 o valor é outro. É competência 2025: sai da despesa de 2026 (contra a provisão de 2025).</t>
  </si>
  <si>
    <t>Jairo Cavanus</t>
  </si>
  <si>
    <t>NF 2 de R$ 13.333 lançada em Jan tem o valor de dez/2025 no ERP (ERP dez/2025 bônus); em 2026 o valor é outro. É competência 2025: sai da despesa de 2026 (contra a provisão de 2025).</t>
  </si>
  <si>
    <t>Christian Rodrigo Corrales</t>
  </si>
  <si>
    <t>NF 102 de R$ 13.125 lançada em Jan tem o valor de dez/2025 no ERP (ERP dez/2025 salário); em 2026 o valor é outro. É competência 2025: sai da despesa de 2026 (contra a provisão de 2025).</t>
  </si>
  <si>
    <t>Alexander Max Yokogawa</t>
  </si>
  <si>
    <t>NF 3 de R$ 12.667 lançada em Jan tem o valor de dez/2025 no ERP (ERP dez/2025 bônus); em 2026 o valor é outro. É competência 2025: sai da despesa de 2026 (contra a provisão de 2025).</t>
  </si>
  <si>
    <t>Ivan Pedroso dos Santos</t>
  </si>
  <si>
    <t>NF de R$ 11.667 lançada em Jan tem o valor de dez/2025 no ERP (ERP dez/2025 bônus); em 2026 o valor é outro. É competência 2025: sai da despesa de 2026 (contra a provisão de 2025).</t>
  </si>
  <si>
    <t>Felipe Alves da Silva</t>
  </si>
  <si>
    <t>NF 21 de R$ 11.550 lançada em Jan tem o valor de dez/2025 no ERP (ERP dez/2025 salário); em 2026 o valor é outro. É competência 2025: sai da despesa de 2026 (contra a provisão de 2025).</t>
  </si>
  <si>
    <t>Datacube Servico de Informacao Via Web Ltda</t>
  </si>
  <si>
    <t>Este fornecedor fatura depois do mês de uso (nos outros meses a NF de um mês entra no seguinte). A NF 60056 (R$ 11.485) lançada(s) em jan não correspondem a nenhum mês de 2026: são de dez/2025. Sair da despesa de 2026.</t>
  </si>
  <si>
    <t>NF 12 de R$ 10.000 lançada em Jan tem o valor de dez/2025 no ERP (ERP dez/2025 salário); em 2026 o valor é outro. É competência 2025: sai da despesa de 2026 (contra a provisão de 2025).</t>
  </si>
  <si>
    <t>Gabriela Silva Borca</t>
  </si>
  <si>
    <t>NF 20 de R$ 10.000 lançada em Jan tem o valor pago em 2025 (ERP 2025); em 2026 o valor desta pessoa é outro e todos os meses de 2026 já têm a sua NF. É competência 2025: sai da despesa de 2026.</t>
  </si>
  <si>
    <t>Leonardo Piecha Caldeira</t>
  </si>
  <si>
    <t>NF 55 de R$ 9.917 lançada em Jan tem o valor de dez/2025 no ERP (ERP dez/2025 bônus); em 2026 o valor é outro. É competência 2025: sai da despesa de 2026 (contra a provisão de 2025).</t>
  </si>
  <si>
    <t>NF 3 de R$ 9.500 lançada em Jan tem o valor de dez/2025 no ERP (ERP dez/2025 comissão); em 2026 o valor é outro. É competência 2025: sai da despesa de 2026 (contra a provisão de 2025).</t>
  </si>
  <si>
    <t>Higor Santos de Jesus</t>
  </si>
  <si>
    <t>NF 9 de R$ 9.333 lançada em Jan tem o valor de dez/2025 no ERP (ERP dez/2025 bônus); em 2026 o valor é outro. É competência 2025: sai da despesa de 2026 (contra a provisão de 2025).</t>
  </si>
  <si>
    <t>João Vitor de Morais Rocha</t>
  </si>
  <si>
    <t>NF 19 de R$ 9.000 lançada em Jan tem o valor de dez/2025 no ERP (ERP dez/2025 bônus); em 2026 o valor é outro. É competência 2025: sai da despesa de 2026 (contra a provisão de 2025).</t>
  </si>
  <si>
    <t>Luiz Henrique Rosa</t>
  </si>
  <si>
    <t>NF 1 de R$ 8.167 lançada em Jan tem o valor de dez/2025 no ERP (ERP dez/2025 bônus); em 2026 o valor é outro. É competência 2025: sai da despesa de 2026 (contra a provisão de 2025).</t>
  </si>
  <si>
    <t>Douglas Machado</t>
  </si>
  <si>
    <t>Jan tem mais de uma NF de R$ 7.618 (37 e 36); o gerencial de jan tem uma só e este fornecedor fatura depois do mês de uso. A NF 37 é de mês de 2025 faturado em jan: sai da despesa de 2026 (contra a provisão de 2025).</t>
  </si>
  <si>
    <t>Bruno Cardoso Vilas Boas</t>
  </si>
  <si>
    <t>NF 3 de R$ 7.333 lançada em Jan tem o valor de dez/2025 no ERP (ERP dez/2025 comissão); em 2026 o valor é outro. É competência 2025: sai da despesa de 2026 (contra a provisão de 2025).</t>
  </si>
  <si>
    <t>NF 33 de R$ 7.307 lançada em Jan tem o valor de dez/2025 no ERP (ERP dez/2025 salário); em 2026 o valor é outro. É competência 2025: sai da despesa de 2026 (contra a provisão de 2025).</t>
  </si>
  <si>
    <t>NF 42 de R$ 7.307 lançada em Jan tem o valor pago em 2025 (ERP 2025); em 2026 o valor desta pessoa é outro e todos os meses de 2026 já têm a sua NF. É competência 2025: sai da despesa de 2026.</t>
  </si>
  <si>
    <t>Renata Fernandes Gress</t>
  </si>
  <si>
    <t>NF 3 de R$ 7.120 lançada em Jan tem o valor de dez/2025 no ERP (ERP dez/2025 salário + comissão); em 2026 o valor é outro. É competência 2025: sai da despesa de 2026 (contra a provisão de 2025).</t>
  </si>
  <si>
    <t>Henrique Augusto Oppelt</t>
  </si>
  <si>
    <t>NF 1 de R$ 7.000 lançada em Jan tem o valor de dez/2025 no ERP (ERP dez/2025 salário); em 2026 o valor é outro. É competência 2025: sai da despesa de 2026 (contra a provisão de 2025).</t>
  </si>
  <si>
    <t>Brunello Amorim</t>
  </si>
  <si>
    <t>NF 3 de R$ 7.000 lançada em Jan tem o valor de dez/2025 no ERP (ERP dez/2025 comissão); em 2026 o valor é outro. É competência 2025: sai da despesa de 2026 (contra a provisão de 2025).</t>
  </si>
  <si>
    <t>Vitor dos Santos Bitencourt</t>
  </si>
  <si>
    <t>NF 9 de R$ 6.910 lançada em Jan tem o valor de dez/2025 no ERP (ERP dez/2025 salário + comissão); em 2026 o valor é outro. É competência 2025: sai da despesa de 2026 (contra a provisão de 2025).</t>
  </si>
  <si>
    <t>Jan tem mais de uma NF de R$ 6.910 (10 e 9); o gerencial de jan tem uma só e este fornecedor fatura depois do mês de uso. A NF 10 é de mês de 2025 faturado em jan: sai da despesa de 2026 (contra a provisão de 2025).</t>
  </si>
  <si>
    <t>NF 3 de R$ 6.906 lançada em Jan tem o valor de dez/2025 no ERP (ERP dez/2025 salário); em 2026 o valor é outro. É competência 2025: sai da despesa de 2026 (contra a provisão de 2025).</t>
  </si>
  <si>
    <t>Daniel Amaral</t>
  </si>
  <si>
    <t>NF 33 de R$ 6.906 lançada em Jan tem o valor de dez/2025 no ERP (ERP dez/2025 salário); em 2026 o valor é outro. É competência 2025: sai da despesa de 2026 (contra a provisão de 2025).</t>
  </si>
  <si>
    <t>Alexsandro Dorneles Teixeira</t>
  </si>
  <si>
    <t>NF 9 de R$ 6.766 lançada em Jan tem o valor de dez/2025 no ERP (ERP dez/2025 salário); em 2026 o valor é outro. É competência 2025: sai da despesa de 2026 (contra a provisão de 2025).</t>
  </si>
  <si>
    <t>Rodrigo da Silva Trindade</t>
  </si>
  <si>
    <t>NF 11 de R$ 6.726 lançada em Jan tem o valor de dez/2025 no ERP (ERP dez/2025 salário + comissão); em 2026 o valor é outro. É competência 2025: sai da despesa de 2026 (contra a provisão de 2025).</t>
  </si>
  <si>
    <t>Bruna Magalhães</t>
  </si>
  <si>
    <t>NF 31 de R$ 5.933 lançada em Jan tem o valor de dez/2025 no ERP (ERP dez/2025 salário); em 2026 o valor é outro. É competência 2025: sai da despesa de 2026 (contra a provisão de 2025).</t>
  </si>
  <si>
    <t>Marina Muller</t>
  </si>
  <si>
    <t>NF 30 de R$ 5.775 lançada em Jan tem o valor de dez/2025 no ERP (ERP dez/2025 salário); em 2026 o valor é outro. É competência 2025: sai da despesa de 2026 (contra a provisão de 2025).</t>
  </si>
  <si>
    <t>Francielle Fernanda da Silva Laudino</t>
  </si>
  <si>
    <t>NF de R$ 5.500 entrou em jan, mas o gerencial de jan é outra nota. É competência dez/2025: sai da despesa de 2026 (contra a provisão de 2025).</t>
  </si>
  <si>
    <t>Isabela Gehlen Eckhard</t>
  </si>
  <si>
    <t>NF 3 de R$ 5.500 lançada em Jan tem o valor de dez/2025 no ERP (ERP dez/2025 comissão); em 2026 o valor é outro. É competência 2025: sai da despesa de 2026 (contra a provisão de 2025).</t>
  </si>
  <si>
    <t>Gabrielle Moraes de Sá</t>
  </si>
  <si>
    <t>NF 11 de R$ 5.250 lançada em Jan tem o valor de dez/2025 no ERP (ERP dez/2025 bônus); em 2026 o valor é outro. É competência 2025: sai da despesa de 2026 (contra a provisão de 2025).</t>
  </si>
  <si>
    <t>4.1.3.01.008 Linkedin Ads</t>
  </si>
  <si>
    <t>LinkedIn Ads</t>
  </si>
  <si>
    <t>NF de R$ 5.131 entrou em jan, mas o gerencial de jan é outra nota. É competência dez/2025: sai da despesa de 2026 (contra a provisão de 2025).</t>
  </si>
  <si>
    <t>Kaio Martins</t>
  </si>
  <si>
    <t>NF 33 de R$ 5.106 lançada em Jan tem o valor de dez/2025 no ERP (ERP dez/2025 salário); em 2026 o valor é outro. É competência 2025: sai da despesa de 2026 (contra a provisão de 2025).</t>
  </si>
  <si>
    <t>Anna Mainardes</t>
  </si>
  <si>
    <t>NF 25 de R$ 4.840 lançada em Jan tem o valor de dez/2025 no ERP (ERP dez/2025 salário); em 2026 o valor é outro. É competência 2025: sai da despesa de 2026 (contra a provisão de 2025).</t>
  </si>
  <si>
    <t>Murilo Santos Leal</t>
  </si>
  <si>
    <t>NF 1 de R$ 4.800 lançada em Jan tem o valor de dez/2025 no ERP (ERP dez/2025 bônus); em 2026 o valor é outro. É competência 2025: sai da despesa de 2026 (contra a provisão de 2025).</t>
  </si>
  <si>
    <t>4.1.2.02.001 Aluguel</t>
  </si>
  <si>
    <t>Sede Nova = CDL?</t>
  </si>
  <si>
    <t>Este fornecedor fatura depois do mês de uso (nos outros meses a NF de um mês entra no seguinte). A NF 6117 (R$ 4.335) lançada(s) em jan não correspondem a nenhum mês de 2026: são de dez/2025. Sair da despesa de 2026.</t>
  </si>
  <si>
    <t>Walisson Camargo de Arruda</t>
  </si>
  <si>
    <t>NF 56 de R$ 4.333 lançada em Jan tem o valor de dez/2025 no ERP (ERP dez/2025 comissão); em 2026 o valor é outro. É competência 2025: sai da despesa de 2026 (contra a provisão de 2025).</t>
  </si>
  <si>
    <t>Yasmim Dias</t>
  </si>
  <si>
    <t>NF 21 de R$ 4.000 lançada em Jan tem o valor de dez/2025 no ERP (ERP dez/2025 salário); em 2026 o valor é outro. É competência 2025: sai da despesa de 2026 (contra a provisão de 2025).</t>
  </si>
  <si>
    <t>NF 32 de R$ 3.780 lançada em Jan tem o valor de dez/2025 no ERP (ERP dez/2025 salário); em 2026 o valor é outro. É competência 2025: sai da despesa de 2026 (contra a provisão de 2025).</t>
  </si>
  <si>
    <t>Larissa Gonçalves</t>
  </si>
  <si>
    <t>NF 15 de R$ 3.500 lançada em Jan tem o valor de dez/2025 no ERP (ERP dez/2025 salário); em 2026 o valor é outro. É competência 2025: sai da despesa de 2026 (contra a provisão de 2025).</t>
  </si>
  <si>
    <t>Karina Mateus da Silva</t>
  </si>
  <si>
    <t>NF 11 de R$ 3.418 lançada em Jan tem o valor de dez/2025 no ERP (ERP dez/2025 bônus); em 2026 o valor é outro. É competência 2025: sai da despesa de 2026 (contra a provisão de 2025).</t>
  </si>
  <si>
    <t>Samuel Andrade Miranda Tavares</t>
  </si>
  <si>
    <t>NF 1 de R$ 3.271 lançada em Jan tem o valor de dez/2025 no ERP (ERP dez/2025 bônus); em 2026 o valor é outro. É competência 2025: sai da despesa de 2026 (contra a provisão de 2025).</t>
  </si>
  <si>
    <t>Nathalia de Souza Miguel Fernandes</t>
  </si>
  <si>
    <t>NF 18 de R$ 3.125 lançada em Jan tem o valor de dez/2025 no ERP (ERP dez/2025 bônus); em 2026 o valor é outro. É competência 2025: sai da despesa de 2026 (contra a provisão de 2025).</t>
  </si>
  <si>
    <t>Bagolin &amp; Bastianello Consultoria Ltda</t>
  </si>
  <si>
    <t>Jan tem mais de uma NF de R$ 3.000 (276 e 275); o gerencial de jan tem uma só. A NF 276 é de mês de 2025 faturado em jan: sai da despesa de 2026 (contra a provisão de 2025).</t>
  </si>
  <si>
    <t>Matheus Saccol</t>
  </si>
  <si>
    <t>NF 22 de R$ 3.000 lançada em Jan tem o valor de dez/2025 no ERP (ERP dez/2025 salário); em 2026 o valor é outro. É competência 2025: sai da despesa de 2026 (contra a provisão de 2025).</t>
  </si>
  <si>
    <t>Rhuan Braga</t>
  </si>
  <si>
    <t>NF 7 de R$ 3.000 lançada em Jan tem o valor de dez/2025 no ERP (ERP dez/2025 salário); em 2026 o valor é outro. É competência 2025: sai da despesa de 2026 (contra a provisão de 2025).</t>
  </si>
  <si>
    <t>Arthur Moreira</t>
  </si>
  <si>
    <t>NF 71 de R$ 3.000 lançada em Jan tem o valor de dez/2025 no ERP (ERP dez/2025 bônus); em 2026 o valor é outro. É competência 2025: sai da despesa de 2026 (contra a provisão de 2025).</t>
  </si>
  <si>
    <t>Este fornecedor fatura depois do mês de uso (nos outros meses a NF de um mês entra no seguinte). A NF 12 (R$ 3.000) lançada(s) em jan não correspondem a nenhum mês de 2026: são de dez/2025. Sair da despesa de 2026.</t>
  </si>
  <si>
    <t>Northon Vinicios Cardoso Soares</t>
  </si>
  <si>
    <t>NF 4 de R$ 3.000 lançada em Jan tem o valor de dez/2025 no ERP (ERP dez/2025 bônus); em 2026 o valor é outro. É competência 2025: sai da despesa de 2026 (contra a provisão de 2025).</t>
  </si>
  <si>
    <t>NF 6 de R$ 3.000 lançada em Jan tem o valor de dez/2025 no ERP (ERP dez/2025 bônus); em 2026 o valor é outro. É competência 2025: sai da despesa de 2026 (contra a provisão de 2025).</t>
  </si>
  <si>
    <t>Meani dos Santos Freitas</t>
  </si>
  <si>
    <t>NF 5 de R$ 2.833 lançada em Jan tem o valor de dez/2025 no ERP (ERP dez/2025 bônus); em 2026 o valor é outro. É competência 2025: sai da despesa de 2026 (contra a provisão de 2025).</t>
  </si>
  <si>
    <t>Maria de Fátima Barbosa Cardoso</t>
  </si>
  <si>
    <t>NF 4 de R$ 2.750 lançada em Jan tem o valor de dez/2025 no ERP (ERP dez/2025 bônus); em 2026 o valor é outro. É competência 2025: sai da despesa de 2026 (contra a provisão de 2025).</t>
  </si>
  <si>
    <t>Adriel Guimel Alencar Brandes</t>
  </si>
  <si>
    <t>NF 12 de R$ 2.625 lançada em Jan tem o valor de dez/2025 no ERP (ERP dez/2025 bônus); em 2026 o valor é outro. É competência 2025: sai da despesa de 2026 (contra a provisão de 2025).</t>
  </si>
  <si>
    <t>Dener Rafael Santos do Nascimento</t>
  </si>
  <si>
    <t>NF 9 de R$ 2.500 lançada em Jan tem o valor de dez/2025 no ERP (ERP dez/2025 bônus); em 2026 o valor é outro. É competência 2025: sai da despesa de 2026 (contra a provisão de 2025).</t>
  </si>
  <si>
    <t>Mariane Leva de Freitas</t>
  </si>
  <si>
    <t>NF 6 de R$ 2.500 lançada em Jan tem o valor de dez/2025 no ERP (ERP dez/2025 bônus); em 2026 o valor é outro. É competência 2025: sai da despesa de 2026 (contra a provisão de 2025).</t>
  </si>
  <si>
    <t>NF 13 de R$ 2.250 lançada em Jan tem o valor de dez/2025 no ERP (ERP dez/2025 bônus); em 2026 o valor é outro. É competência 2025: sai da despesa de 2026 (contra a provisão de 2025).</t>
  </si>
  <si>
    <t>NF 11 de R$ 2.250 lançada em Jan tem o valor de dez/2025 no ERP (ERP dez/2025 bônus); em 2026 o valor é outro. É competência 2025: sai da despesa de 2026 (contra a provisão de 2025).</t>
  </si>
  <si>
    <t>Jéssica Montardo Rosado</t>
  </si>
  <si>
    <t>NF 3 de R$ 2.000 lançada em Jan tem o valor de dez/2025 no ERP (ERP dez/2025 bônus); em 2026 o valor é outro. É competência 2025: sai da despesa de 2026 (contra a provisão de 2025).</t>
  </si>
  <si>
    <t>4.1.3.01.001 Publicidade e Propaganda</t>
  </si>
  <si>
    <t>GUILHERME SAYDELLES BICCA</t>
  </si>
  <si>
    <t>A NF 388 de R$ 1.800,00 lançada em Jan é de Dez/25 (GUILHERME SAYDELLES BICCA, competência Dez/25 no ERP). Exercício 2025 encerrado: fica em 2026 e entra na nota explicativa.</t>
  </si>
  <si>
    <t>Lançamentos de 2025 sem fornecedor no P&amp;L</t>
  </si>
  <si>
    <t>ERP: Cartão Conta Simples Infinity R$ 1.633 competência 12/2025, lançado em Jan/2026. É competência 2025: sai da despesa de 2026.</t>
  </si>
  <si>
    <t>NF 10 de R$ 1.500 lançada em Jan tem o valor de dez/2025 no ERP (ERP dez/2025 bônus); em 2026 o valor é outro. É competência 2025: sai da despesa de 2026 (contra a provisão de 2025).</t>
  </si>
  <si>
    <t>GitHub</t>
  </si>
  <si>
    <t>NF de R$ 1.426 entrou em jan, mas o gerencial de jan é outra nota. É competência dez/2025: sai da despesa de 2026 (contra a provisão de 2025).</t>
  </si>
  <si>
    <t>Davi Graciano Nascimento Costa</t>
  </si>
  <si>
    <t>NF 5 de R$ 1.333 lançada em Jan tem o valor de dez/2025 no ERP (ERP dez/2025 bônus); em 2026 o valor é outro. É competência 2025: sai da despesa de 2026 (contra a provisão de 2025).</t>
  </si>
  <si>
    <t>Luis Emanuel Rigon Alderete</t>
  </si>
  <si>
    <t>NF 202600000000001 de R$ 1.250 lançada em Jan tem o valor de dez/2025 no ERP (ERP dez/2025 bônus); em 2026 o valor é outro. É competência 2025: sai da despesa de 2026 (contra a provisão de 2025).</t>
  </si>
  <si>
    <t>4.1.8.09.002 Confraternização</t>
  </si>
  <si>
    <t>Eventos + Brindes</t>
  </si>
  <si>
    <t>A lançamento sem nº de R$ 1.051,70 lançada em Jan é de Dez/25 (MERCADO DO HENRIQUE, competência Dez/25 no ERP). Exercício 2025 encerrado: fica em 2026 e entra na nota explicativa.</t>
  </si>
  <si>
    <t>A lançamento sem nº de R$ 373,96 lançada em Jan é de Dez/25 (STANGHERLIN SUPERMERCADOS LTDA, competência Dez/25 no ERP). Exercício 2025 encerrado: fica em 2026 e entra na nota explicativa.</t>
  </si>
  <si>
    <t>4.1.2.04.007 Combustível</t>
  </si>
  <si>
    <t>Taxi</t>
  </si>
  <si>
    <t>A lançamento sem nº de R$ 332,54 lançada em Jan é de Dez/25 (PAYPAL SHELLBOX, competência Dez/25 no ERP). Exercício 2025 encerrado: fica em 2026 e entra na nota explicativa.</t>
  </si>
  <si>
    <t>A lançamento sem nº de R$ 169,97 lançada em Jan é de Dez/25 (STANGHERLIN SUPERMERCADOS LTDA, competência Dez/25 no ERP). Exercício 2025 encerrado: fica em 2026 e entra na nota explicativa.</t>
  </si>
  <si>
    <t>Freepik Company</t>
  </si>
  <si>
    <t>Este fornecedor fatura depois do mês de uso (nos outros meses a NF de um mês entra no seguinte). A NF s/nº (R$ 119) lançada(s) em jan não correspondem a nenhum mês de 2026: são de dez/2025. Sair da despesa de 2026.</t>
  </si>
  <si>
    <t>Pluga</t>
  </si>
  <si>
    <t>NF de R$ 89 entrou em jan, mas o gerencial de jan é outra nota. É competência dez/2025: sai da despesa de 2026 (contra a provisão de 2025).</t>
  </si>
  <si>
    <t>4.1.8.10.002 Perdas Efetivas com Clientes</t>
  </si>
  <si>
    <t>Perdas</t>
  </si>
  <si>
    <t>NF de R$ 80 entrou em jan, mas o gerencial de jan é outra nota. É competência dez/2025: sai da despesa de 2026 (contra a provisão de 2025).</t>
  </si>
  <si>
    <t>Giovana Baseggio de Azambuja</t>
  </si>
  <si>
    <t>NF de R$ 75 entrou em jan, mas o gerencial de jan é outra nota. É competência dez/2025: sai da despesa de 2026 (contra a provisão de 2025).</t>
  </si>
  <si>
    <t>A lançamento sem nº de R$ 35,00 lançada em Jan é de Dez/25 (MARA NANCI FLORES SCHMITT, competência Dez/25 no ERP). Exercício 2025 encerrado: fica em 2026 e entra na nota explicativa.</t>
  </si>
  <si>
    <t>4.1.2.04.005 Hotel e Pousadas</t>
  </si>
  <si>
    <t>Hotels</t>
  </si>
  <si>
    <t>Da NF 872 (R$ 179.504, offsite de fevereiro), R$ 40.000 foram pagos e reconhecidos no gerencial em 2025 (confirmado pela Controladoria). É competência 2025: sai da despesa de 2026.</t>
  </si>
  <si>
    <t>NF 7 de R$ 13.500 lançada em Fev tem o valor de dez/2025 no ERP (ERP dez/2025 salário + comissão) e o mês de Fev já tem a NF dele. É competência 2025: sai da despesa de 2026 (contra a provisão de 2025).</t>
  </si>
  <si>
    <t>Thiago Oliveira Dias</t>
  </si>
  <si>
    <t>NF 7 de R$ 8.500 lançada em Fev tem o valor de dez/2025 no ERP (ERP dez/2025 salário) e o mês de Fev já tem a NF dele. É competência 2025: sai da despesa de 2026 (contra a provisão de 2025).</t>
  </si>
  <si>
    <t>4.1.8.10.001 Despesas Indedutíveis</t>
  </si>
  <si>
    <t>Baixa de adiantamento de 30/06/2025 (compra de 2025) lançada como despesa em Fev/2026. A despesa é de 2025: baixar o adiantamento contra o resultado de 2025 (ajuste de exercício anterior), não contra despesa de 2026. (Pinterest Servicos de Sao Paulo BRA)</t>
  </si>
  <si>
    <t>Baixa de adiantamento de 05/02/2025 (compra de 2025) lançada como despesa em Fev/2026. A despesa é de 2025: baixar o adiantamento contra o resultado de 2025 (ajuste de exercício anterior), não contra despesa de 2026. (MERCADOLIVRE)</t>
  </si>
  <si>
    <t>Baixa de adiantamento de 05/08/2025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</si>
  <si>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05/12/2025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</si>
  <si>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03/10/2025 (compra de 2025) lançada como despesa em Fev/2026. A despesa é de 2025: baixar o adiantamento contra o resultado de 2025 (ajuste de exercício anterior), não contra despesa de 2026. (THAMILA BRUM STUDIO)</t>
  </si>
  <si>
    <t>Baixa de adiantamento de 10/06/2025 (compra de 2025) lançada como despesa em Fev/2026. A despesa é de 2025: baixar o adiantamento contra o resultado de 2025 (ajuste de exercício anterior), não contra despesa de 2026. (Kor - Reembolsos - Compra de Ativo - V A)</t>
  </si>
  <si>
    <t>Ruan Marques Rosa</t>
  </si>
  <si>
    <t>Baixa de adiantamento de 31/05/2025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</si>
  <si>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18/08/2025 (compra de 2025) lançada como despesa em Fev/2026. A despesa é de 2025: baixar o adiantamento contra o resultado de 2025 (ajuste de exercício anterior), não contra despesa de 2026. (MERCADOLIVRE)</t>
  </si>
  <si>
    <t>4.1.3.01.005 Influenciadores</t>
  </si>
  <si>
    <t>Rafael Candia + Junqueira e Candia Advocacia</t>
  </si>
  <si>
    <t>Baixa de adiantamento de 10/12/2025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</si>
  <si>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28/04/2025 (compra de 2025) lançada como despesa em Fev/2026. A despesa é de 2025: baixar o adiantamento contra o resultado de 2025 (ajuste de exercício anterior), não contra despesa de 2026. (Kor Solutions - Victor Aracty)</t>
  </si>
  <si>
    <t>4.1.6.01.008 Serviços de Terceiros - Externos</t>
  </si>
  <si>
    <t>ELIZABETH</t>
  </si>
  <si>
    <t>Baixa de adiantamento de 05/09/2025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</si>
  <si>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25/08/2025 (compra de 2025) lançada como despesa em Fev/2026. A despesa é de 2025: baixar o adiantamento contra o resultado de 2025 (ajuste de exercício anterior), não contra despesa de 2026. (MERCADOLIVRE)</t>
  </si>
  <si>
    <t>Baixa de adiantamento de 30/06/2025 (compra de 2025) lançada como despesa em Fev/2026. A despesa é de 2025: baixar o adiantamento contra o resultado de 2025 (ajuste de exercício anterior), não contra despesa de 2026. (GuiaDaAlma FLORIANOPOLIS BRA)</t>
  </si>
  <si>
    <t>Baixa de adiantamento de 25/11/2025 (compra de 2025) lançada como despesa em Fev/2026. A despesa é de 2025: baixar o adiantamento contra o resultado de 2025 (ajuste de exercício anterior), não contra despesa de 2026. (ZARA HOME BRAZIL)</t>
  </si>
  <si>
    <t>Baixa de adiantamento de 31/10/2025 (compra de 2025) lançada como despesa em Fev/2026. A despesa é de 2025: baixar o adiantamento contra o resultado de 2025 (ajuste de exercício anterior), não contra despesa de 2026. (GUIADAALMA)</t>
  </si>
  <si>
    <t>Baixa de adiantamento de 30/09/2025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</si>
  <si>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05/08/2025 (compra de 2025) lançada como despesa em Fev/2026. A despesa é de 2025: baixar o adiantamento contra o resultado de 2025 (ajuste de exercício anterior), não contra despesa de 2026. (MARCIO MARTINS GELOCHA)</t>
  </si>
  <si>
    <t>Baixa de adiantamento de 31/08/2025 (compra de 2025) lançada como despesa em Fev/2026. A despesa é de 2025: baixar o adiantamento contra o resultado de 2025 (ajuste de exercício anterior), não contra despesa de 2026. (NB JK)</t>
  </si>
  <si>
    <t>Baixa de adiantamento de 26/06/2025 (compra de 2025) lançada como despesa em Fev/2026. A despesa é de 2025: baixar o adiantamento contra o resultado de 2025 (ajuste de exercício anterior), não contra despesa de 2026. (ASAAS *CAFEAMERICA)</t>
  </si>
  <si>
    <t>Baixa de adiantamento de 30/09/2025 (compra de 2025) lançada como despesa em Fev/2026. A despesa é de 2025: baixar o adiantamento contra o resultado de 2025 (ajuste de exercício anterior), não contra despesa de 2026. (BOOKING.COM40775914859)</t>
  </si>
  <si>
    <t>Baixa de adiantamento de 26/06/2025 (compra de 2025) lançada como despesa em Fev/2026. A despesa é de 2025: baixar o adiantamento contra o resultado de 2025 (ajuste de exercício anterior), não contra despesa de 2026. (MERCADOLIVRE)</t>
  </si>
  <si>
    <t>Baixa de adiantamento de 30/09/2025 (compra de 2025) lançada como despesa em Fev/2026. A despesa é de 2025: baixar o adiantamento contra o resultado de 2025 (ajuste de exercício anterior), não contra despesa de 2026. (FERRAGEM E ELETRONICA)</t>
  </si>
  <si>
    <t>Baixa de adiantamento de 04/06/2025 (compra de 2025) lançada como despesa em Fev/2026. A despesa é de 2025: baixar o adiantamento contra o resultado de 2025 (ajuste de exercício anterior), não contra despesa de 2026. (Microondas Jusfy - Móveis e Eletrodomest)</t>
  </si>
  <si>
    <t>Baixa de adiantamento de 31/05/2025 (compra de 2025) lançada como despesa em Fev/2026. A despesa é de 2025: baixar o adiantamento contra o resultado de 2025 (ajuste de exercício anterior), não contra despesa de 2026. (AZULZWNGMN 4 de 6)</t>
  </si>
  <si>
    <t>Baixa de adiantamento de 05/02/2025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</si>
  <si>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30/09/2025 (compra de 2025) lançada como despesa em Fev/2026. A despesa é de 2025: baixar o adiantamento contra o resultado de 2025 (ajuste de exercício anterior), não contra despesa de 2026. (NOVA GESTAO ADMINISTRA)</t>
  </si>
  <si>
    <t>Baixa de adiantamento de 05/12/2025 (compra de 2025) lançada como despesa em Fev/2026. A despesa é de 2025: baixar o adiantamento contra o resultado de 2025 (ajuste de exercício anterior), não contra despesa de 2026. (AMAZON BR)</t>
  </si>
  <si>
    <t>Baixa de adiantamento de 30/09/2025 (compra de 2025) lançada como despesa em Fev/2026. A despesa é de 2025: baixar o adiantamento contra o resultado de 2025 (ajuste de exercício anterior), não contra despesa de 2026. (FERRAGEM RECOSUL)</t>
  </si>
  <si>
    <t>Baixa de adiantamento de 08/08/2025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</si>
  <si>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31/08/2025 (compra de 2025) lançada como despesa em Fev/2026. A despesa é de 2025: baixar o adiantamento contra o resultado de 2025 (ajuste de exercício anterior), não contra despesa de 2026. (MARCELOHIROSHI)</t>
  </si>
  <si>
    <t>Baixa de adiantamento de 30/09/2025 (compra de 2025) lançada como despesa em Fev/2026. A despesa é de 2025: baixar o adiantamento contra o resultado de 2025 (ajuste de exercício anterior), não contra despesa de 2026. (CARREFOUR 417 SMA)</t>
  </si>
  <si>
    <t>Baixa de adiantamento de 25/11/2025 (compra de 2025) lançada como despesa em Fev/2026. A despesa é de 2025: baixar o adiantamento contra o resultado de 2025 (ajuste de exercício anterior), não contra despesa de 2026. (ZARA BRASIL LTDA)</t>
  </si>
  <si>
    <t>Baixa de adiantamento de 31/10/2025 (compra de 2025) lançada como despesa em Fev/2026. A despesa é de 2025: baixar o adiantamento contra o resultado de 2025 (ajuste de exercício anterior), não contra despesa de 2026. (MUVIFLEX PLANALTOCOM)</t>
  </si>
  <si>
    <t>Baixa de adiantamento de 19/08/2025 (compra de 2025) lançada como despesa em Fev/2026. A despesa é de 2025: baixar o adiantamento contra o resultado de 2025 (ajuste de exercício anterior), não contra despesa de 2026. (MERCADOLIVRE)</t>
  </si>
  <si>
    <t>Baixa de adiantamento de 29/07/2025 (compra de 2025) lançada como despesa em Fev/2026. A despesa é de 2025: baixar o adiantamento contra o resultado de 2025 (ajuste de exercício anterior), não contra despesa de 2026. (Material de Construção Persianas Casa da)</t>
  </si>
  <si>
    <t>Baixa de adiantamento de 31/10/2025 (compra de 2025) lançada como despesa em Fev/2026. A despesa é de 2025: baixar o adiantamento contra o resultado de 2025 (ajuste de exercício anterior), não contra despesa de 2026. (COMEY)</t>
  </si>
  <si>
    <t>4.1.2.01.001 Telefonia e Internet</t>
  </si>
  <si>
    <t>Números telefone Salvy</t>
  </si>
  <si>
    <t>Baixa de adiantamento de 31/10/2025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</si>
  <si>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30/06/2025 (compra de 2025) lançada como despesa em Fev/2026. A despesa é de 2025: baixar o adiantamento contra o resultado de 2025 (ajuste de exercício anterior), não contra despesa de 2026. (NEO AUTOPOSTO)</t>
  </si>
  <si>
    <t>Maria Fernanda Branco Torrano</t>
  </si>
  <si>
    <t>A lançamento sem nº de R$ 320,00 lançada em Fev é de Dez/25 (MARIA FERNANDA BRANCO TORRANO, competência Dez/25 no ERP). Exercício 2025 encerrado: fica em 2026 e entra na nota explicativa.</t>
  </si>
  <si>
    <t>Wati.io</t>
  </si>
  <si>
    <t>Baixa de adiantamento de 05/02/2025 (compra de 2025) lançada como despesa em Fev/2026. A despesa é de 2025: baixar o adiantamento contra o resultado de 2025 (ajuste de exercício anterior), não contra despesa de 2026. (AJF COMERCIO DE MOVEIS)</t>
  </si>
  <si>
    <t>Baixa de adiantamento de 05/03/2025 (compra de 2025) lançada como despesa em Fev/2026. A despesa é de 2025: baixar o adiantamento contra o resultado de 2025 (ajuste de exercício anterior), não contra despesa de 2026. (AJF COMERCIO DE MOVEIS)</t>
  </si>
  <si>
    <t>Baixa de adiantamento de 05/04/2025 (compra de 2025) lançada como despesa em Fev/2026. A despesa é de 2025: baixar o adiantamento contra o resultado de 2025 (ajuste de exercício anterior), não contra despesa de 2026. (AJF COMERCIO DE MOVEIS)</t>
  </si>
  <si>
    <t>Baixa de adiantamento de 26/06/2025 (compra de 2025) lançada como despesa em Fev/2026. A despesa é de 2025: baixar o adiantamento contra o resultado de 2025 (ajuste de exercício anterior), não contra despesa de 2026. (AJF COMERCIO DE MOVEIS)</t>
  </si>
  <si>
    <t>Baixa de adiantamento de 23/07/2025 (compra de 2025) lançada como despesa em Fev/2026. A despesa é de 2025: baixar o adiantamento contra o resultado de 2025 (ajuste de exercício anterior), não contra despesa de 2026. (AJF COMERCIO DE MOVEIS)</t>
  </si>
  <si>
    <t>Baixa de adiantamento de 25/08/2025 (compra de 2025) lançada como despesa em Fev/2026. A despesa é de 2025: baixar o adiantamento contra o resultado de 2025 (ajuste de exercício anterior), não contra despesa de 2026. (AJF COMERCIO DE MOVEIS)</t>
  </si>
  <si>
    <t>Baixa de adiantamento de 31/05/2025 (compra de 2025) lançada como despesa em Fev/2026. A despesa é de 2025: baixar o adiantamento contra o resultado de 2025 (ajuste de exercício anterior), não contra despesa de 2026. (AJF COMERCIO DE MOVEIS 7 de 10)</t>
  </si>
  <si>
    <t>Baixa de adiantamento de 25/05/2025 (compra de 2025) lançada como despesa em Fev/2026. A despesa é de 2025: baixar o adiantamento contra o resultado de 2025 (ajuste de exercício anterior), não contra despesa de 2026. (HUB*KaBuM)</t>
  </si>
  <si>
    <t>Baixa de adiantamento de 30/06/2025 (compra de 2025) lançada como despesa em Fev/2026. A despesa é de 2025: baixar o adiantamento contra o resultado de 2025 (ajuste de exercício anterior), não contra despesa de 2026. (HUB*KaBuM)</t>
  </si>
  <si>
    <t>Baixa de adiantamento de 31/08/2025 (compra de 2025) lançada como despesa em Fev/2026. A despesa é de 2025: baixar o adiantamento contra o resultado de 2025 (ajuste de exercício anterior), não contra despesa de 2026. (HUB*KaBuM)</t>
  </si>
  <si>
    <t>Baixa de adiantamento de 02/07/2025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</si>
  <si>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30/09/2025 (compra de 2025) lançada como despesa em Fev/2026. A despesa é de 2025: baixar o adiantamento contra o resultado de 2025 (ajuste de exercício anterior), não contra despesa de 2026. (BARRANKO)</t>
  </si>
  <si>
    <t>Baixa de adiantamento de 30/06/2025 (compra de 2025) lançada como despesa em Fev/2026. A despesa é de 2025: baixar o adiantamento contra o resultado de 2025 (ajuste de exercício anterior), não contra despesa de 2026. (ORINTER TOUR E TRAVEL (Parcela 9 de 10))</t>
  </si>
  <si>
    <t>Baixa de adiantamento de 31/10/2025 (compra de 2025) lançada como despesa em Fev/2026. A despesa é de 2025: baixar o adiantamento contra o resultado de 2025 (ajuste de exercício anterior), não contra despesa de 2026. (MAGALUPAY*KABUM 5 de 10)</t>
  </si>
  <si>
    <t>Baixa de adiantamento de 10/06/2025 (compra de 2025) lançada como despesa em Fev/2026. A despesa é de 2025: baixar o adiantamento contra o resultado de 2025 (ajuste de exercício anterior), não contra despesa de 2026. (Influenciadores - Jés - Influenciadores )</t>
  </si>
  <si>
    <t>Baixa de adiantamento de 31/08/2025 (compra de 2025) lançada como despesa em Fev/2026. A despesa é de 2025: baixar o adiantamento contra o resultado de 2025 (ajuste de exercício anterior), não contra despesa de 2026. (IUGU*SALVYLTDA Curitiba BRA)</t>
  </si>
  <si>
    <t>Baixa de adiantamento de 31/08/2025 (compra de 2025) lançada como despesa em Fev/2026. A despesa é de 2025: baixar o adiantamento contra o resultado de 2025 (ajuste de exercício anterior), não contra despesa de 2026. (PETIT PETIT BISTR)</t>
  </si>
  <si>
    <t>Baixa de adiantamento de 31/05/2025 (compra de 2025) lançada como despesa em Fev/2026. A despesa é de 2025: baixar o adiantamento contra o resultado de 2025 (ajuste de exercício anterior), não contra despesa de 2026. (VNTG, INC.)</t>
  </si>
  <si>
    <t>Baixa de adiantamento de 11/08/2025 (compra de 2025) lançada como despesa em Fev/2026. A despesa é de 2025: baixar o adiantamento contra o resultado de 2025 (ajuste de exercício anterior), não contra despesa de 2026. (MERCADOLIVRE)</t>
  </si>
  <si>
    <t>Baixa de adiantamento de 30/06/2025 (compra de 2025) lançada como despesa em Fev/2026. A despesa é de 2025: baixar o adiantamento contra o resultado de 2025 (ajuste de exercício anterior), não contra despesa de 2026. (GARIBALDI BR 470)</t>
  </si>
  <si>
    <t>Baixa de adiantamento de 30/06/2025 (compra de 2025) lançada como despesa em Fev/2026. A despesa é de 2025: baixar o adiantamento contra o resultado de 2025 (ajuste de exercício anterior), não contra despesa de 2026. (PEX PEX-ONR)</t>
  </si>
  <si>
    <t>GroupMap/TeamRetro</t>
  </si>
  <si>
    <t>Baixa de adiantamento de 10/12/2025 (compra de 2025) lançada como despesa em Fev/2026. A despesa é de 2025: baixar o adiantamento contra o resultado de 2025 (ajuste de exercício anterior), não contra despesa de 2026. (LEANDRO PALLOTINO MONKEN VIEIRA)</t>
  </si>
  <si>
    <t>Descript</t>
  </si>
  <si>
    <t>Baixa de adiantamento de 31/08/2025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</si>
  <si>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30/06/2025 (compra de 2025) lançada como despesa em Fev/2026. A despesa é de 2025: baixar o adiantamento contra o resultado de 2025 (ajuste de exercício anterior), não contra despesa de 2026. (IUGU*SALVYLTDA Curitiba BRA)</t>
  </si>
  <si>
    <t>Baixa de adiantamento de 30/06/2025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</si>
  <si>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30/08/2025 (compra de 2025) lançada como despesa em Fev/2026. A despesa é de 2025: baixar o adiantamento contra o resultado de 2025 (ajuste de exercício anterior), não contra despesa de 2026. (DEVOL ENVIADA PIX)</t>
  </si>
  <si>
    <t>Baixa de adiantamento de 31/05/2025 (compra de 2025) lançada como despesa em Fev/2026. A despesa é de 2025: baixar o adiantamento contra o resultado de 2025 (ajuste de exercício anterior), não contra despesa de 2026. (NEIMARCOSDASILVA)</t>
  </si>
  <si>
    <t>Baixa de adiantamento de 30/06/2025 (compra de 2025) lançada como despesa em Fev/2026. A despesa é de 2025: baixar o adiantamento contra o resultado de 2025 (ajuste de exercício anterior), não contra despesa de 2026. (AFFINITY ASSISTEN (Parcela 9 de 10))</t>
  </si>
  <si>
    <t>Baixa de adiantamento de 31/07/2025 (compra de 2025) lançada como despesa em Fev/2026. A despesa é de 2025: baixar o adiantamento contra o resultado de 2025 (ajuste de exercício anterior), não contra despesa de 2026. (Compra parcelada 10 de 10 AFFINITY ASSIS)</t>
  </si>
  <si>
    <t>Baixa de adiantamento de 30/09/2025 (compra de 2025) lançada como despesa em Fev/2026. A despesa é de 2025: baixar o adiantamento contra o resultado de 2025 (ajuste de exercício anterior), não contra despesa de 2026. (FERRAGEM BELTRAME)</t>
  </si>
  <si>
    <t>Baixa de adiantamento de 31/05/2025 (compra de 2025) lançada como despesa em Fev/2026. A despesa é de 2025: baixar o adiantamento contra o resultado de 2025 (ajuste de exercício anterior), não contra despesa de 2026. (DNH*GODADDY#3696842272)</t>
  </si>
  <si>
    <t>Baixa de adiantamento de 31/05/2025 (compra de 2025) lançada como despesa em Fev/2026. A despesa é de 2025: baixar o adiantamento contra o resultado de 2025 (ajuste de exercício anterior), não contra despesa de 2026. (CLIP PAPELARIABRILHANTE)</t>
  </si>
  <si>
    <t>Baixa de adiantamento de 25/11/2025 (compra de 2025) lançada como despesa em Fev/2026. A despesa é de 2025: baixar o adiantamento contra o resultado de 2025 (ajuste de exercício anterior), não contra despesa de 2026. (AMAZON BR)</t>
  </si>
  <si>
    <t>Baixa de adiantamento de 25/11/2025 (compra de 2025) lançada como despesa em Fev/2026. A despesa é de 2025: baixar o adiantamento contra o resultado de 2025 (ajuste de exercício anterior), não contra despesa de 2026. (PINGOOCASA)</t>
  </si>
  <si>
    <t>Nvoip</t>
  </si>
  <si>
    <t>Baixa de adiantamento de 30/06/2025 (compra de 2025) lançada como despesa em Fev/2026. A despesa é de 2025: baixar o adiantamento contra o resultado de 2025 (ajuste de exercício anterior), não contra despesa de 2026. (ZOHO-ZOHO CORP FLORIANOPOLIS SC)</t>
  </si>
  <si>
    <t>Baixa de adiantamento de 05/12/2025 (compra de 2025) lançada como despesa em Fev/2026. A despesa é de 2025: baixar o adiantamento contra o resultado de 2025 (ajuste de exercício anterior), não contra despesa de 2026. (sem identificação)</t>
  </si>
  <si>
    <t>Baixa de adiantamento de 25/11/2025 (compra de 2025) lançada como despesa em Fev/2026. A despesa é de 2025: baixar o adiantamento contra o resultado de 2025 (ajuste de exercício anterior), não contra despesa de 2026. (MERCADOLIVRE)</t>
  </si>
  <si>
    <t>Baixa de adiantamento de 10/12/2025 (compra de 2025) lançada como despesa em Fev/2026. A despesa é de 2025: baixar o adiantamento contra o resultado de 2025 (ajuste de exercício anterior), não contra despesa de 2026. (MERCADOLIVRE)</t>
  </si>
  <si>
    <t>Baixa de adiantamento de 10/12/2025 (compra de 2025) lançada como despesa em Fev/2026. A despesa é de 2025: baixar o adiantamento contra o resultado de 2025 (ajuste de exercício anterior), não contra despesa de 2026. (AMAZON BR)</t>
  </si>
  <si>
    <t>Elaine Uchoa</t>
  </si>
  <si>
    <t>Baixa de adiantamento de 09/12/2025 (compra de 2025) lançada como despesa em Fev/2026. A despesa é de 2025: baixar o adiantamento contra o resultado de 2025 (ajuste de exercício anterior), não contra despesa de 2026. O gerencial de Fev não tem esse valor.</t>
  </si>
  <si>
    <t>Jéssica Fernanda Garcia</t>
  </si>
  <si>
    <t>Baixa de adiantamento de 10/11/2025 (compra de 2025) lançada como despesa em Fev/2026. A despesa é de 2025: baixar o adiantamento contra o resultado de 2025 (ajuste de exercício anterior), não contra despesa de 2026. O gerencial de Fev não tem esse valor.</t>
  </si>
  <si>
    <t>ERP: Anita Mendoza Branquinho R$ 50 competência 12/2025, lançado em Fev/2026. É competência 2025: sai da despesa de 2026.</t>
  </si>
  <si>
    <t>Baixa de adiantamento de 10/10/2025 (compra de 2025) lançada como despesa em Fev/2026. A despesa é de 2025: baixar o adiantamento contra o resultado de 2025 (ajuste de exercício anterior), não contra despesa de 2026. (JAIR CLAUDIO CARVALHO DE JESUS)</t>
  </si>
  <si>
    <t>Baixa de adiantamento de 10/11/2025 (compra de 2025) lançada como despesa em Fev/2026. A despesa é de 2025: baixar o adiantamento contra o resultado de 2025 (ajuste de exercício anterior), não contra despesa de 2026. (JAIR CLAUDIO CARVALHO DE JESUS)</t>
  </si>
  <si>
    <t>Baixa de adiantamento de 12/05/2025 (compra de 2025) lançada como despesa em Fev/2026. A despesa é de 2025: baixar o adiantamento contra o resultado de 2025 (ajuste de exercício anterior), não contra despesa de 2026. O gerencial de Fev não tem esse valor.</t>
  </si>
  <si>
    <t>Baixa de adiantamento de 19/06/2025 (compra de 2025) lançada como despesa em Fev/2026. A despesa é de 2025: baixar o adiantamento contra o resultado de 2025 (ajuste de exercício anterior), não contra despesa de 2026. O gerencial de Fev não tem esse valor.</t>
  </si>
  <si>
    <t>4.1.3.01.007 Reddit Ads</t>
  </si>
  <si>
    <t>Baixa de adiantamento de 02/06/2025 (compra de 2025) lançada como despesa em Fev/2026. A despesa é de 2025: baixar o adiantamento contra o resultado de 2025 (ajuste de exercício anterior), não contra despesa de 2026. (DEVOL ENVIADA PIX)</t>
  </si>
  <si>
    <t>Baixa de adiantamento de 25/11/2025 (compra de 2025) lançada como despesa em Fev/2026. A despesa é de 2025: baixar o adiantamento contra o resultado de 2025 (ajuste de exercício anterior), não contra despesa de 2026. (ALFAMAQUINASDE)</t>
  </si>
  <si>
    <t>Baixa de adiantamento de 31/05/2025 (compra de 2025) lançada como despesa em Fev/2026. A despesa é de 2025: baixar o adiantamento contra o resultado de 2025 (ajuste de exercício anterior), não contra despesa de 2026. (FREEPIK COMPANY)</t>
  </si>
  <si>
    <t>Baixa de adiantamento de 31/10/2025 (compra de 2025) lançada como despesa em Fev/2026. A despesa é de 2025: baixar o adiantamento contra o resultado de 2025 (ajuste de exercício anterior), não contra despesa de 2026. (X CORP PAID FEATURES)</t>
  </si>
  <si>
    <t>Baixa de adiantamento de 10/06/2025 (compra de 2025) lançada como despesa em Fev/2026. A despesa é de 2025: baixar o adiantamento contra o resultado de 2025 (ajuste de exercício anterior), não contra despesa de 2026. (Justy Estorno - Reembolsos/Estornos - Mo)</t>
  </si>
  <si>
    <t>Estorno/cancelamento de NF de exercício anterior (2025) lançado em Fev/2026, reduzindo a despesa de 2026. É de 2025: lançar contra o resultado de 2025, não contra a despesa de 2026. (Ajuste Provisão de PIS-MP66 referente ao)</t>
  </si>
  <si>
    <t>NF 46 de R$ 11.667 lançada em Mar tem o valor pago em 2025 (ERP 2025); em 2026 o valor desta pessoa é outro e todos os meses de 2026 já têm a sua NF. É competência 2025: sai da despesa de 2026.</t>
  </si>
  <si>
    <t>Lucas Passeli</t>
  </si>
  <si>
    <t>NF 1 de R$ 7.560 lançada em Mar tem o valor de dez/2025 no ERP (ERP dez/2025 salário); em 2026 o valor é outro. É competência 2025: sai da despesa de 2026 (contra a provisão de 2025).</t>
  </si>
  <si>
    <t>NF 2 de R$ 7.560 lançada em Mar tem o valor pago em 2025 (ERP 2025); em 2026 o valor desta pessoa é outro e todos os meses de 2026 já têm a sua NF. É competência 2025: sai da despesa de 2026.</t>
  </si>
  <si>
    <t>NF 16 de R$ 7.500 lançada em Mar tem o valor de dez/2025 no ERP (ERP dez/2025 bônus); em 2026 o valor é outro. É competência 2025: sai da despesa de 2026 (contra a provisão de 2025).</t>
  </si>
  <si>
    <t>NF 15 de R$ 6.835 lançada em Mar tem o valor de dez/2025 no ERP (ERP dez/2025 salário) e o mês de Mar já tem a NF dele. É competência 2025: sai da despesa de 2026 (contra a provisão de 2025).</t>
  </si>
  <si>
    <t>NF 29 de R$ 7.307 lançada em Mai tem o valor pago em 2025 (ERP 2025); em 2026 o valor desta pessoa é outro e todos os meses de 2026 já têm a sua NF. É competência 2025: sai da despesa de 2026.</t>
  </si>
  <si>
    <t>NF de R$ 7.000 lançada em Mai tem o valor pago em 2025 (ERP 2025); em 2026 o valor desta pessoa é outro e todos os meses de 2026 já têm a sua NF. É competência 2025: sai da despesa de 2026.</t>
  </si>
  <si>
    <t>Dailton Rodrigues de Carvalho Filho</t>
  </si>
  <si>
    <t>NF 2026100000001 de R$ 6.667 lançada em Mai tem o valor de dez/2025 no ERP (ERP dez/2025 bônus); em 2026 o valor é outro. É competência 2025: sai da despesa de 2026 (contra a provisão de 2025).</t>
  </si>
  <si>
    <t>4.1.6.01.003 Serviços Jurídicos</t>
  </si>
  <si>
    <t>Lopes e Silva Advogados</t>
  </si>
  <si>
    <t>NF de 01/10/2025 (2025) lançada em Mai/2026. É competência 2025: sai da despesa de 2026 (contra a provisão de 2025). O gerencial de Mai não tem esse valor.</t>
  </si>
  <si>
    <t>NF 18 de R$ 3.000 lançada em Mai tem o valor pago em 2025 (ERP 2025); em 2026 o valor desta pessoa é outro e todos os meses de 2026 já têm a sua NF. É competência 2025: sai da despesa de 2026.</t>
  </si>
  <si>
    <t>Rafael Saccol Bagolin</t>
  </si>
  <si>
    <t>Estorno/cancelamento de NF de 01/12/2025 (2025) lançado em Mai/2026, reduzindo a despesa de 2026. É de 2025: lançar contra o resultado de 2025, não contra a despesa de 2026. O gerencial de Mai não tem esse valor.</t>
  </si>
  <si>
    <t>ERP Software - Omie</t>
  </si>
  <si>
    <t>Estorno/cancelamento de NF de 13/11/2025 (2025) lançado em Mai/2026, reduzindo a despesa de 2026. É de 2025: lançar contra o resultado de 2025, não contra a despesa de 2026. O gerencial de Mai não tem esse valor.</t>
  </si>
  <si>
    <t>Estorno/cancelamento de NF de 01/12/2025 (2025) lançado em Mai/2026, reduzindo a despesa de 2026. É de 2025: lançar contra o resultado de 2025, não contra a despesa de 2026. (de Contas para OMIEXPERIENCE LTDA)</t>
  </si>
  <si>
    <t>Montandon Saraiva Servicos Administrativos Ltda</t>
  </si>
  <si>
    <t>Estorno/cancelamento de NF de 10/01/2025 (2025) lançado em Mai/2026, reduzindo a despesa de 2026. É de 2025: lançar contra o resultado de 2025, não contra a despesa de 2026. O gerencial de Mai não tem esse valor.</t>
  </si>
  <si>
    <t>4.1.2.02.005 Manutenções Prediais</t>
  </si>
  <si>
    <t>Maintenance</t>
  </si>
  <si>
    <t>Estorno/cancelamento de NF de 15/12/2025 (2025) lançado em Mai/2026, reduzindo a despesa de 2026. É de 2025: lançar contra o resultado de 2025, não contra a despesa de 2026. O gerencial de Mai não tem esse valor.</t>
  </si>
  <si>
    <t>Estorno/cancelamento de NF de 01/12/2025 (2025) lançado em Mai/2026, reduzindo a despesa de 2026. É de 2025: lançar contra o resultado de 2025, não contra a despesa de 2026. (Consultoria em Tecnologia da Informacao)</t>
  </si>
  <si>
    <t>4.1.6.02.002 Auxílio Ifood</t>
  </si>
  <si>
    <t>iFood (benefício)</t>
  </si>
  <si>
    <t>Estorno/cancelamento de NF de 26/09/2025 (2025) lançado em Mai/2026, reduzindo a despesa de 2026. É de 2025: lançar contra o resultado de 2025, não contra a despesa de 2026. O gerencial de Mai não tem esse valor.</t>
  </si>
  <si>
    <t>Hubspot (30%) + HubSpot</t>
  </si>
  <si>
    <t>TOTAL (239 linhas)</t>
  </si>
  <si>
    <t>B1a. Google Ads — valor certo por competência (razão = base da Mari); ajustar o P&amp;L</t>
  </si>
  <si>
    <t>NFs Google no razão</t>
  </si>
  <si>
    <t>Base da Mari (ERP, competência)</t>
  </si>
  <si>
    <t>P&amp;L hoje</t>
  </si>
  <si>
    <t>Ajuste no P&amp;L (valor certo − P&amp;L)</t>
  </si>
  <si>
    <t>Janeiro</t>
  </si>
  <si>
    <t>Fevereiro</t>
  </si>
  <si>
    <t>Março</t>
  </si>
  <si>
    <t>Abril</t>
  </si>
  <si>
    <t>Maio</t>
  </si>
  <si>
    <t>Junho</t>
  </si>
  <si>
    <t>Base da Mari: linhas GOOGLE BRASIL / GOOGLE WORKSPACE classificadas em 5.1.1 Aquisição Digital (ADS), somadas por competência (todas as contas da Google: SaaS, Jusmatch, Enterprise, Internacional). Em jan, a NF 35933274 (R$ 9.349,64) está no ERP como "GOOGLE WORKSPACE", classe ADS.</t>
  </si>
  <si>
    <t>B1b. Imposto retido — o razão lança o valor bruto da NF; o ERP (e o P&amp;L) tem o líquido pago</t>
  </si>
  <si>
    <t>Diferença no mês</t>
  </si>
  <si>
    <t>NF (razão) → pago (ERP)</t>
  </si>
  <si>
    <t>Retido</t>
  </si>
  <si>
    <t>O que decidir</t>
  </si>
  <si>
    <t>NF 31 9.916 → 9.767</t>
  </si>
  <si>
    <t>149 (1,50%)</t>
  </si>
  <si>
    <t>Contábil está certo (despesa = valor bruto da NF). O P&amp;L usa o valor pago ao fornecedor. Decidir: P&amp;L passa a usar o bruto, ou o retido entra na linha de impostos.</t>
  </si>
  <si>
    <t>NF 2725 11.868 → 11.138</t>
  </si>
  <si>
    <t>730 (6,15%)</t>
  </si>
  <si>
    <t>NF 58 9.916 → 9.767</t>
  </si>
  <si>
    <t>NF 3092 24.060 → 22.580</t>
  </si>
  <si>
    <t>1.480 (6,15%)</t>
  </si>
  <si>
    <t>NF 117 9.916 → 9.767</t>
  </si>
  <si>
    <t>NF 1750 2.400 → 2.252</t>
  </si>
  <si>
    <t>148 (6,15%)</t>
  </si>
  <si>
    <t>NF 3165 42.504 → 39.890</t>
  </si>
  <si>
    <t>2.614 (6,15%)</t>
  </si>
  <si>
    <t>NF FATURA 4.991 → 4.747</t>
  </si>
  <si>
    <t>244 (4,89%)</t>
  </si>
  <si>
    <t>NF 1766 3.600 → 3.379</t>
  </si>
  <si>
    <t>221 (6,15%)</t>
  </si>
  <si>
    <t>NF 167 9.916 → 9.767</t>
  </si>
  <si>
    <t>NF 3416 46.992 → 44.102</t>
  </si>
  <si>
    <t>2.890 (6,15%)</t>
  </si>
  <si>
    <t>NF 1782 1.400 → 1.314</t>
  </si>
  <si>
    <t>86 (6,15%)</t>
  </si>
  <si>
    <t>NF 3807 37.680 → 35.363</t>
  </si>
  <si>
    <t>2.317 (6,15%)</t>
  </si>
  <si>
    <t>NF 33236 13.309 → 12.491</t>
  </si>
  <si>
    <t>819 (6,15%)</t>
  </si>
  <si>
    <t>NF 1796 2.000 → 1.870</t>
  </si>
  <si>
    <t>130 (6,50%)</t>
  </si>
  <si>
    <t>TOTAL (15 linhas)</t>
  </si>
  <si>
    <t>B1c. Para a Jusfy classificar — a nota está na base da Mari, mas o P&amp;L tem menos para este fornecedor</t>
  </si>
  <si>
    <t>A mais no razão</t>
  </si>
  <si>
    <t>Razão × P&amp;L do fornecedor no mês</t>
  </si>
  <si>
    <t>O que a base da Mari mostra</t>
  </si>
  <si>
    <t>Classificação da Jusfy</t>
  </si>
  <si>
    <t>5.000 × 4.939</t>
  </si>
  <si>
    <t>Notas do razão no ERP no mesmo mês (5.000). O P&amp;L deste fornecedor tem menos.</t>
  </si>
  <si>
    <t>1.174 × 0</t>
  </si>
  <si>
    <t>Mesma nota no ERP em outro mês (1.174 → Mai), e o razão desse mês já tem a nota dele: parece a mesma NF lançada duas vezes.</t>
  </si>
  <si>
    <t>8.599 × 478</t>
  </si>
  <si>
    <t>Mesma nota no ERP em outro mês (4.119 → Abr), e o razão desse mês já tem a nota dele: parece a mesma NF lançada duas vezes.</t>
  </si>
  <si>
    <t>Notas do razão no ERP no mesmo mês (4.480). O P&amp;L deste fornecedor tem menos.</t>
  </si>
  <si>
    <t>4.417 × 2.740</t>
  </si>
  <si>
    <t>Mesma nota no ERP em outro mês (4.417 → Jan), e o razão desse mês já tem a nota dele: parece a mesma NF lançada duas vezes.</t>
  </si>
  <si>
    <t>1.550 × 1.220</t>
  </si>
  <si>
    <t>Mesma nota no ERP em outro mês (1.550 → Fev), e o razão desse mês já tem a nota dele: parece a mesma NF lançada duas vezes.</t>
  </si>
  <si>
    <t>1.100 × 747</t>
  </si>
  <si>
    <t>Mesma nota no ERP em outro mês (1.100 → Mai), e o razão desse mês já tem a nota dele: parece a mesma NF lançada duas vezes.</t>
  </si>
  <si>
    <t>7.500 × 7.409</t>
  </si>
  <si>
    <t>Notas do razão no ERP no mesmo mês (7.500). O P&amp;L deste fornecedor tem menos.</t>
  </si>
  <si>
    <t>7.500 × 7.320</t>
  </si>
  <si>
    <t>7.500 × 7.367</t>
  </si>
  <si>
    <t>625 × 701</t>
  </si>
  <si>
    <t>Mesma nota no ERP em outro mês (625 → Fev), e o razão desse mês já tem a nota dele: parece a mesma NF lançada duas vezes.</t>
  </si>
  <si>
    <t>2.000 × 0</t>
  </si>
  <si>
    <t>Notas do razão no ERP no mesmo mês (2.000). O P&amp;L deste fornecedor tem menos.</t>
  </si>
  <si>
    <t>3.177 × 1.738</t>
  </si>
  <si>
    <t>Mesma nota no ERP em outro mês (3.177 → Abr), e o razão desse mês já tem a nota dele: parece a mesma NF lançada duas vezes.</t>
  </si>
  <si>
    <t>12.531 × 6.737</t>
  </si>
  <si>
    <t>Mesma nota no ERP em outro mês (6.232 → Jul), e o razão desse mês já tem a nota dele: parece a mesma NF lançada duas vezes.</t>
  </si>
  <si>
    <t>576 × 0</t>
  </si>
  <si>
    <t>Notas do razão no ERP no mesmo mês (510). O P&amp;L deste fornecedor tem menos.</t>
  </si>
  <si>
    <t>4.092 × 2.915</t>
  </si>
  <si>
    <t>Mesma nota no ERP em outro mês (3.356 → Fev; 450 → Fev), e o razão desse mês já tem a nota dele: parece a mesma NF lançada duas vezes.</t>
  </si>
  <si>
    <t>13.095 × 0</t>
  </si>
  <si>
    <t>Mesma nota no ERP em outro mês (3.200 → Fev), e o razão desse mês já tem a nota dele: parece a mesma NF lançada duas vezes.</t>
  </si>
  <si>
    <t>Notas do razão no ERP no mesmo mês (155; 383; 354; 267; 136; 14). O P&amp;L deste fornecedor tem menos.</t>
  </si>
  <si>
    <t>54.423 × 10.911</t>
  </si>
  <si>
    <t>Mesma nota no ERP em outro mês (3.821 → Jan; 4.050 → Jan; 52 → Jan), e o razão desse mês já tem a nota dele: parece a mesma NF lançada duas vezes.</t>
  </si>
  <si>
    <t>3.256 × 2.674</t>
  </si>
  <si>
    <t>Mesma nota no ERP em outro mês (387 → Fev), e o razão desse mês já tem a nota dele: parece a mesma NF lançada duas vezes.</t>
  </si>
  <si>
    <t>Notas do razão no ERP no mesmo mês (390; 45; 1.900; 267; 267). O P&amp;L deste fornecedor tem menos.</t>
  </si>
  <si>
    <t>2.965 × 1.552</t>
  </si>
  <si>
    <t>Mesma nota no ERP em outro mês (1.466 → Abr), e o razão desse mês já tem a nota dele: parece a mesma NF lançada duas vezes.</t>
  </si>
  <si>
    <t>8.934 × 8.580</t>
  </si>
  <si>
    <t>Mesma nota no ERP em outro mês (504 → Fev), e o razão desse mês já tem a nota dele: parece a mesma NF lançada duas vezes.</t>
  </si>
  <si>
    <t>5.000 × 0</t>
  </si>
  <si>
    <t>5.400 × 1.778</t>
  </si>
  <si>
    <t>Mesma nota no ERP em outro mês (1.800 → Nov/25), e o razão desse mês já tem a nota dele: parece a mesma NF lançada duas vezes.</t>
  </si>
  <si>
    <t>140 × 140</t>
  </si>
  <si>
    <t>Notas do razão no ERP no mesmo mês (140). O P&amp;L deste fornecedor tem menos.</t>
  </si>
  <si>
    <t>1.560 × 140</t>
  </si>
  <si>
    <t>Mesma nota no ERP em outro mês (1.560 → Mai), e o razão desse mês já tem a nota dele: parece a mesma NF lançada duas vezes.</t>
  </si>
  <si>
    <t>3.678 × 3.040</t>
  </si>
  <si>
    <t>Mesma nota no ERP em outro mês (638 → Fev), e o razão desse mês já tem a nota dele: parece a mesma NF lançada duas vezes.</t>
  </si>
  <si>
    <t>5.000 × 4.880</t>
  </si>
  <si>
    <t>11.114 × 6.000</t>
  </si>
  <si>
    <t>Mesma nota no ERP em outro mês (5.438 → Abr), e o razão desse mês já tem a nota dele: parece a mesma NF lançada duas vezes.</t>
  </si>
  <si>
    <t>14.805 × 14.596</t>
  </si>
  <si>
    <t>Notas do razão no ERP no mesmo mês (209; 14.596). O P&amp;L deste fornecedor tem menos.</t>
  </si>
  <si>
    <t>46.311 × 41.991</t>
  </si>
  <si>
    <t>Mesma nota no ERP em outro mês (37.176 → Fev), e o razão desse mês já tem a nota dele: parece a mesma NF lançada duas vezes.</t>
  </si>
  <si>
    <t>5.679 × 0</t>
  </si>
  <si>
    <t>Mesma nota no ERP em outro mês (4.986 → Mar), e o razão desse mês já tem a nota dele: parece a mesma NF lançada duas vezes.</t>
  </si>
  <si>
    <t>Notas do razão no ERP no mesmo mês (692). O P&amp;L deste fornecedor tem menos.</t>
  </si>
  <si>
    <t>51 × 0</t>
  </si>
  <si>
    <t>Mesma nota no ERP em outro mês (51 → Fev), e o razão desse mês já tem a nota dele: parece a mesma NF lançada duas vezes.</t>
  </si>
  <si>
    <t>6.870 × 0</t>
  </si>
  <si>
    <t>Mesma nota no ERP em outro mês (175 → Mar; 1.704 → Mar), e o razão desse mês já tem a nota dele: parece a mesma NF lançada duas vezes.</t>
  </si>
  <si>
    <t>Notas do razão no ERP no mesmo mês. O P&amp;L deste fornecedor tem menos.</t>
  </si>
  <si>
    <t>11.310 × 0</t>
  </si>
  <si>
    <t>Mesma nota no ERP em outro mês (256 → Abr), e o razão desse mês já tem a nota dele: parece a mesma NF lançada duas vezes.</t>
  </si>
  <si>
    <t>Notas do razão no ERP no mesmo mês (450; 4.993; 450). O P&amp;L deste fornecedor tem menos.</t>
  </si>
  <si>
    <t>5.699 × 1.697</t>
  </si>
  <si>
    <t>Notas do razão no ERP no mesmo mês (5.249; 450). O P&amp;L deste fornecedor tem menos.</t>
  </si>
  <si>
    <t>520 × 146</t>
  </si>
  <si>
    <t>Mesma nota no ERP em outro mês (520 → Jan), e o razão desse mês já tem a nota dele: parece a mesma NF lançada duas vezes.</t>
  </si>
  <si>
    <t>281 × 281</t>
  </si>
  <si>
    <t>Notas do razão no ERP no mesmo mês (281). O P&amp;L deste fornecedor tem menos.</t>
  </si>
  <si>
    <t>480 × 160</t>
  </si>
  <si>
    <t>Mesma nota no ERP em outro mês (160 → Jan), e o razão desse mês já tem a nota dele: parece a mesma NF lançada duas vezes.</t>
  </si>
  <si>
    <t>55.249 × 39.283</t>
  </si>
  <si>
    <t>Mesma nota no ERP em outro mês (39.421 → Fev; 15.828 → Dez/25), e o razão desse mês já tem a nota dele: parece a mesma NF lançada duas vezes.</t>
  </si>
  <si>
    <t>6.898 × 3.504</t>
  </si>
  <si>
    <t>Mesma nota no ERP em outro mês (6.898 → Dez/25), e o razão desse mês já tem a nota dele: parece a mesma NF lançada duas vezes.</t>
  </si>
  <si>
    <t>205 × 105</t>
  </si>
  <si>
    <t>Mesma nota no ERP em outro mês (104 → Abr), e o razão desse mês já tem a nota dele: parece a mesma NF lançada duas vezes.</t>
  </si>
  <si>
    <t>418 × 358</t>
  </si>
  <si>
    <t>Mesma nota no ERP em outro mês (418 → Fev), e o razão desse mês já tem a nota dele: parece a mesma NF lançada duas vezes.</t>
  </si>
  <si>
    <t>578 × 427</t>
  </si>
  <si>
    <t>Mesma nota no ERP em outro mês (578 → Abr), e o razão desse mês já tem a nota dele: parece a mesma NF lançada duas vezes.</t>
  </si>
  <si>
    <t>482 × 427</t>
  </si>
  <si>
    <t>Mesma nota no ERP em outro mês (482 → Mai), e o razão desse mês já tem a nota dele: parece a mesma NF lançada duas vezes.</t>
  </si>
  <si>
    <t>2.200 × 1.944</t>
  </si>
  <si>
    <t>Mesma nota no ERP em outro mês (108 → Jan; 1.874 → Jan), e o razão desse mês já tem a nota dele: parece a mesma NF lançada duas vezes.</t>
  </si>
  <si>
    <t>3.006 × 2.415</t>
  </si>
  <si>
    <t>Mesma nota no ERP em outro mês (3.006 → Dez/25), e o razão desse mês já tem a nota dele: parece a mesma NF lançada duas vezes.</t>
  </si>
  <si>
    <t>3.315 × 1.520</t>
  </si>
  <si>
    <t>Mesma nota no ERP em outro mês (3.261 → Jan), e o razão desse mês já tem a nota dele: parece a mesma NF lançada duas vezes.</t>
  </si>
  <si>
    <t>2.670 × 1.469</t>
  </si>
  <si>
    <t>Mesma nota no ERP em outro mês (2.670 → Mai), e o razão desse mês já tem a nota dele: parece a mesma NF lançada duas vezes.</t>
  </si>
  <si>
    <t>4.859 × 0</t>
  </si>
  <si>
    <t>Notas do razão no ERP no mesmo mês (4.859). O P&amp;L deste fornecedor tem menos.</t>
  </si>
  <si>
    <t>93 × 0</t>
  </si>
  <si>
    <t>Notas do razão no ERP no mesmo mês (93). O P&amp;L deste fornecedor tem menos.</t>
  </si>
  <si>
    <t>600 × 0</t>
  </si>
  <si>
    <t>Notas do razão no ERP no mesmo mês (600). O P&amp;L deste fornecedor tem menos.</t>
  </si>
  <si>
    <t>2.948 × 0</t>
  </si>
  <si>
    <t>Notas do razão no ERP no mesmo mês (2.948). O P&amp;L deste fornecedor tem menos.</t>
  </si>
  <si>
    <t>177 × 0</t>
  </si>
  <si>
    <t>Notas do razão no ERP no mesmo mês (177). O P&amp;L deste fornecedor tem menos.</t>
  </si>
  <si>
    <t>175 × 6</t>
  </si>
  <si>
    <t>Mesma nota no ERP em outro mês (175 → Mai), e o razão desse mês já tem a nota dele: parece a mesma NF lançada duas vezes.</t>
  </si>
  <si>
    <t>7.603 × 2.982</t>
  </si>
  <si>
    <t>Notas do razão no ERP no mesmo mês (7.603). O P&amp;L deste fornecedor tem menos.</t>
  </si>
  <si>
    <t>15.010 × 14.627</t>
  </si>
  <si>
    <t>Mesma nota no ERP em outro mês (2.870 → Fev; 316 → Dez/25), e o razão desse mês já tem a nota dele: parece a mesma NF lançada duas vezes.</t>
  </si>
  <si>
    <t>12.377 × 12.227</t>
  </si>
  <si>
    <t>Notas do razão no ERP no mesmo mês (12.377). O P&amp;L deste fornecedor tem menos.</t>
  </si>
  <si>
    <t>106.836 × 102.916</t>
  </si>
  <si>
    <t>Mesma nota no ERP em outro mês (94.428 → Fev), e o razão desse mês já tem a nota dele: parece a mesma NF lançada duas vezes.</t>
  </si>
  <si>
    <t>105 × 4</t>
  </si>
  <si>
    <t>Mesma nota no ERP em outro mês (105 → Mai), e o razão desse mês já tem a nota dele: parece a mesma NF lançada duas vezes.</t>
  </si>
  <si>
    <t>TOTAL (65 linhas)</t>
  </si>
  <si>
    <t>B2. Pendência Jusfy — fornecedor do razão que não está no P&amp;L (conferido na base do ERP)</t>
  </si>
  <si>
    <t>Situação</t>
  </si>
  <si>
    <t>Evidência / o que falta</t>
  </si>
  <si>
    <t>4.1.1.01.003 Bolsa Estágio</t>
  </si>
  <si>
    <t>Folha sem cadastro no painel de pessoas</t>
  </si>
  <si>
    <t>Linha da folha (Fopag) — bolsa-auxílio/provisão de estagiário. Não está no painel de pessoas, por isso não entra no P&amp;L de RH. Jusfy: incluir a pessoa no Cadastro/painel ou confirmar que fica fora.</t>
  </si>
  <si>
    <t>4.1.1.01.005 Férias</t>
  </si>
  <si>
    <t>4.1.2.05.011 Mera importação</t>
  </si>
  <si>
    <t>Não está no ERP nem no P&amp;L</t>
  </si>
  <si>
    <t>Nenhum pagamento deste fornecedor na base do ERP (out/25 a ago/26) com esse valor. Jusfy: é despesa da Jusfy? Se sim, entra no ERP/P&amp;L; se não, a Syhus tira do razão.</t>
  </si>
  <si>
    <t>4.1.6.02.001 Cursos e Treinamentos</t>
  </si>
  <si>
    <t>4.1.2.05.009 Bens de pequeno valor</t>
  </si>
  <si>
    <t>4.1.6.02.003 Despesas com Uniformes</t>
  </si>
  <si>
    <t>4.1.2.05.005 Cartório</t>
  </si>
  <si>
    <t>No ERP em outra linha/mês</t>
  </si>
  <si>
    <t>No ERP: 5.3.1. Serviços de Terceiros (4.1.6.01.008 - Serviços de Terceiros - Externos), competência 2026-06, R$ 120. Jusfy: confirmar em qual linha do P&amp;L está.</t>
  </si>
  <si>
    <t>No ERP: 5.3.2. Software (4.1.2.01.003 - Licença de Sofware e Sistemas (SaaS)), competência 2026-02, R$ 99. Jusfy: confirmar em qual linha do P&amp;L está.</t>
  </si>
  <si>
    <t>No ERP, mas ainda sem classificação</t>
  </si>
  <si>
    <t>No ERP como "identificar" (4.1.6.02.003 - Despesas com Uniformes, 2026-02, R$ 1.000): por isso não chegou ao P&amp;L. Jusfy: classificar no ERP (em qual linha do P&amp;L entra).</t>
  </si>
  <si>
    <t>4.1.2.05.012 Fretes</t>
  </si>
  <si>
    <t>No ERP como "identificar" (4.1.2.05.009 - Fretes, 2026-06, R$ 347): por isso não chegou ao P&amp;L. Jusfy: classificar no ERP (em qual linha do P&amp;L entra).</t>
  </si>
  <si>
    <t>No ERP como "identificar" (4.1.2.05.005 - Cartório, 2026-03, R$ 193): por isso não chegou ao P&amp;L. Jusfy: classificar no ERP (em qual linha do P&amp;L entra).</t>
  </si>
  <si>
    <t>Possível lançamento em dobro no razão</t>
  </si>
  <si>
    <t>As notas de jun citam os mesmos números das notas de abril (que já estão certas, em brindes), com valor um pouco diferente e em conta de custo de software. Syhus confirma se é repetição; se for, excluir.</t>
  </si>
  <si>
    <t>TOTAL em aberto (56 linhas)</t>
  </si>
  <si>
    <t>Já casado</t>
  </si>
  <si>
    <t>Provisão de cursos de jan (R$ 9.040) feita a pedido da Jusfy: completa o auxílio educacional de jan do ERP (R$ 13.800 = Lucas 2.700 + CSP 2.060 + provisão 9.040).</t>
  </si>
  <si>
    <t>No ERP: 5.2.5. Auxílio Educacional, competência 2026-03, R$ 3.600. Entra no P&amp;L dentro de "HR Expenses &amp; Payroll".</t>
  </si>
  <si>
    <t>No ERP: 5.2.5. Auxílio Educacional, competência 2026-04, R$ 3.600. Entra no P&amp;L dentro de "HR Expenses &amp; Payroll".</t>
  </si>
  <si>
    <t>No ERP: 5.2.5. Auxílio Educacional, competência 2026-05, R$ 3.600. Entra no P&amp;L dentro de "HR Expenses &amp; Payroll".</t>
  </si>
  <si>
    <t>No ERP: 5.2.5. Auxílio Educacional, competência 2026-06, R$ 3.600. Entra no P&amp;L dentro de "HR Expenses &amp; Payroll".</t>
  </si>
  <si>
    <t>No ERP: 5.2.5. Auxílio Educacional, competência 2026-02, R$ 2.700. Entra no P&amp;L dentro de "HR Expenses &amp; Payroll".</t>
  </si>
  <si>
    <t>Parte do auxílio educacional de jan do ERP (R$ 13.800).</t>
  </si>
  <si>
    <t>Já casados com a linha de RH do P&amp;L (8 linhas)</t>
  </si>
  <si>
    <t>Não são pendência: entram no P&amp;L dentro de "HR Expenses &amp; Payroll" (auxílio educacional).</t>
  </si>
  <si>
    <t>B3. Pendência Jusfy — linha agregada do P&amp;L com diferença e sem fornecedor provado no razão</t>
  </si>
  <si>
    <t>Diferença</t>
  </si>
  <si>
    <t>Tipo</t>
  </si>
  <si>
    <t>O que falta</t>
  </si>
  <si>
    <t>PROVISIONAR</t>
  </si>
  <si>
    <t>O P&amp;L não abre esta linha por fornecedor e o razão não mostra qual fornecedor falta/sobra. R$ 39.362 de Jan foram lançados em Fev. Provisionar em Jan. Jusfy: dizer o fornecedor (ou mandar a NF).</t>
  </si>
  <si>
    <t>O P&amp;L não abre esta linha por fornecedor e o razão não mostra qual fornecedor falta/sobra. Razão tem R$ 1.331 a menos que o gerencial em Jan. Provisionar a diferença em Jan. Jusfy: dizer o fornecedor (ou mandar a NF).</t>
  </si>
  <si>
    <t>Airline and Bus Tickets</t>
  </si>
  <si>
    <t>4.1.2.04.001 Passagens Aereas e Rodoviárias</t>
  </si>
  <si>
    <t>O P&amp;L não abre esta linha por fornecedor e o razão não mostra qual fornecedor falta/sobra. Razão tem R$ 8.917 a menos que o gerencial em Jan. Provisionar a diferença em Jan. Jusfy: dizer o fornecedor (ou mandar a NF).</t>
  </si>
  <si>
    <t>Meals</t>
  </si>
  <si>
    <t>4.1.2.04.002 Lanches e Refeições</t>
  </si>
  <si>
    <t>O P&amp;L não abre esta linha por fornecedor e o razão não mostra qual fornecedor falta/sobra. R$ 2.664 de Jan foram lançados em Fev. Provisionar em Jan. Jusfy: dizer o fornecedor (ou mandar a NF).</t>
  </si>
  <si>
    <t>O P&amp;L não abre esta linha por fornecedor e o razão não mostra qual fornecedor falta/sobra. Razão tem R$ 489 a menos que o gerencial em Jan. Provisionar a diferença em Jan. Jusfy: dizer o fornecedor (ou mandar a NF).</t>
  </si>
  <si>
    <t>Telephony and Internet</t>
  </si>
  <si>
    <t>O P&amp;L não abre esta linha por fornecedor e o razão não mostra qual fornecedor falta/sobra. R$ 129 de Jan foram lançados em Fev. Provisionar em Jan. Jusfy: dizer o fornecedor (ou mandar a NF).</t>
  </si>
  <si>
    <t>O P&amp;L não abre esta linha por fornecedor e o razão não mostra qual fornecedor falta/sobra. Razão tem R$ 159 a menos que o gerencial em Jan. Provisionar a diferença em Jan. Jusfy: dizer o fornecedor (ou mandar a NF).</t>
  </si>
  <si>
    <t>Electrical Energy</t>
  </si>
  <si>
    <t>4.1.2.02.002 Energia Elétrica</t>
  </si>
  <si>
    <t>O P&amp;L não abre esta linha por fornecedor e o razão não mostra qual fornecedor falta/sobra. Razão tem R$ 2.897 a menos que o gerencial em Jan. Provisionar a diferença em Jan. Jusfy: dizer o fornecedor (ou mandar a NF).</t>
  </si>
  <si>
    <t>O P&amp;L não abre esta linha por fornecedor e o razão não mostra qual fornecedor falta/sobra. R$ 2.200 de Jan foram lançados em Fev. Provisionar em Jan. Jusfy: dizer o fornecedor (ou mandar a NF).</t>
  </si>
  <si>
    <t>O P&amp;L não abre esta linha por fornecedor e o razão não mostra qual fornecedor falta/sobra. Razão tem R$ 1.550 a menos que o gerencial em Jan. Provisionar a diferença em Jan. Jusfy: dizer o fornecedor (ou mandar a NF).</t>
  </si>
  <si>
    <t>Tax suppliers</t>
  </si>
  <si>
    <t>4.1.4.01.001 Taxa de Fiscalização e Licença e Funcionamento</t>
  </si>
  <si>
    <t>REVERTER (NF adiantada)</t>
  </si>
  <si>
    <t>O P&amp;L não abre esta linha por fornecedor e o razão não mostra qual fornecedor falta/sobra. R$ 473 lançados em Jan são de Fev (lançado antes da competência). Reverter em Jan. Jusfy: dizer o fornecedor (ou mandar a NF).</t>
  </si>
  <si>
    <t>Processos Judiciais - Clientes</t>
  </si>
  <si>
    <t>4.1.8.09.004 Despesa com Contingências</t>
  </si>
  <si>
    <t>O P&amp;L não abre esta linha por fornecedor e o razão não mostra qual fornecedor falta/sobra. Razão tem R$ 6.362 a menos que o gerencial em Jan. Provisionar a diferença em Jan. Jusfy: dizer o fornecedor (ou mandar a NF).</t>
  </si>
  <si>
    <t>Other Executive Leadership-related Suppliers</t>
  </si>
  <si>
    <t xml:space="preserve">4.1.8.09.003 </t>
  </si>
  <si>
    <t>O P&amp;L não abre esta linha por fornecedor e o razão não mostra qual fornecedor falta/sobra. Razão tem R$ 9.500 a menos que o gerencial em Jan. Provisionar a diferença em Jan. Jusfy: dizer o fornecedor (ou mandar a NF).</t>
  </si>
  <si>
    <t>BAIXAR PROVISÃO</t>
  </si>
  <si>
    <t>O P&amp;L não abre esta linha por fornecedor e o razão não mostra qual fornecedor falta/sobra. Baixar em Fev a provisão de Jan (R$ 39.362). Jusfy: dizer o fornecedor (ou mandar a NF).</t>
  </si>
  <si>
    <t>O P&amp;L não abre esta linha por fornecedor e o razão não mostra qual fornecedor falta/sobra. R$ 6.265 de Fev foram lançados em Mar. Provisionar em Fev. Jusfy: dizer o fornecedor (ou mandar a NF).</t>
  </si>
  <si>
    <t>O P&amp;L não abre esta linha por fornecedor e o razão não mostra qual fornecedor falta/sobra. Razão tem R$ 11.731,73 a menos que o gerencial em Fev, além das NFs que o ERP prova. Provisionar a diferença em Fev. Jusfy: dizer o fornecedor (ou mandar a NF).</t>
  </si>
  <si>
    <t>4.1.2.04.003 Táxi ou Transportes Executivo</t>
  </si>
  <si>
    <t>O P&amp;L não abre esta linha por fornecedor e o razão não mostra qual fornecedor falta/sobra. R$ 810 lançados em Fev são de Mar (lançado antes da competência). Reverter em Fev. Jusfy: dizer o fornecedor (ou mandar a NF).</t>
  </si>
  <si>
    <t>O P&amp;L não abre esta linha por fornecedor e o razão não mostra qual fornecedor falta/sobra. Baixar em Fev a provisão de Jan (R$ 2.664). Jusfy: dizer o fornecedor (ou mandar a NF).</t>
  </si>
  <si>
    <t>O P&amp;L não abre esta linha por fornecedor e o razão não mostra qual fornecedor falta/sobra. Baixar em Fev a provisão de Jan (R$ 129). Jusfy: dizer o fornecedor (ou mandar a NF).</t>
  </si>
  <si>
    <t>O P&amp;L não abre esta linha por fornecedor e o razão não mostra qual fornecedor falta/sobra. Baixar em Fev a provisão de Jan (R$ 2.200). Jusfy: dizer o fornecedor (ou mandar a NF).</t>
  </si>
  <si>
    <t>O P&amp;L não abre esta linha por fornecedor e o razão não mostra qual fornecedor falta/sobra. Reconhecer em Fev os R$ 473 revertidos de Jan. Jusfy: dizer o fornecedor (ou mandar a NF).</t>
  </si>
  <si>
    <t>4.1.9.01.002 Perdas Efetivas com Clientes</t>
  </si>
  <si>
    <t>O P&amp;L não abre esta linha por fornecedor e o razão não mostra qual fornecedor falta/sobra. Razão tem R$ 5.020 a menos que o gerencial em Fev. Provisionar a diferença em Fev. Jusfy: dizer o fornecedor (ou mandar a NF).</t>
  </si>
  <si>
    <t>O P&amp;L não abre esta linha por fornecedor e o razão não mostra qual fornecedor falta/sobra. Razão tem R$ 541 a menos que o gerencial em Fev. Provisionar a diferença em Fev. Jusfy: dizer o fornecedor (ou mandar a NF).</t>
  </si>
  <si>
    <t>Various Equipment</t>
  </si>
  <si>
    <t>4.1.2.01.002 Serviços e Equipamentos de TI</t>
  </si>
  <si>
    <t>O P&amp;L não abre esta linha por fornecedor e o razão não mostra qual fornecedor falta/sobra. R$ 174 de Fev foram lançados em Mar. Provisionar em Fev. Jusfy: dizer o fornecedor (ou mandar a NF).</t>
  </si>
  <si>
    <t>O P&amp;L não abre esta linha por fornecedor e o razão não mostra qual fornecedor falta/sobra. Razão tem R$ 2.314 a menos que o gerencial em Fev. Provisionar a diferença em Fev. Jusfy: dizer o fornecedor (ou mandar a NF).</t>
  </si>
  <si>
    <t>O P&amp;L não abre esta linha por fornecedor e o razão não mostra qual fornecedor falta/sobra. Razão tem R$ 9.499 a menos que o gerencial em Fev. Provisionar a diferença em Fev. Jusfy: dizer o fornecedor (ou mandar a NF).</t>
  </si>
  <si>
    <t>O P&amp;L não abre esta linha por fornecedor e o razão não mostra qual fornecedor falta/sobra. R$ 557 lançados em Mar são de Abr (lançado antes da competência). Reverter em Mar. Jusfy: dizer o fornecedor (ou mandar a NF).</t>
  </si>
  <si>
    <t>O P&amp;L não abre esta linha por fornecedor e o razão não mostra qual fornecedor falta/sobra. Baixar em Mar a provisão de Fev (R$ 6.265). Jusfy: dizer o fornecedor (ou mandar a NF).</t>
  </si>
  <si>
    <t>O P&amp;L não abre esta linha por fornecedor e o razão não mostra qual fornecedor falta/sobra. Reconhecer em Mar os R$ 810 revertidos de Fev. Jusfy: dizer o fornecedor (ou mandar a NF).</t>
  </si>
  <si>
    <t>O P&amp;L não abre esta linha por fornecedor e o razão não mostra qual fornecedor falta/sobra. Razão tem R$ 79 a menos que o gerencial em Mar. Provisionar a diferença em Mar. Jusfy: dizer o fornecedor (ou mandar a NF).</t>
  </si>
  <si>
    <t>O P&amp;L não abre esta linha por fornecedor e o razão não mostra qual fornecedor falta/sobra. Razão tem R$ 568 a menos que o gerencial em Mar. Provisionar a diferença em Mar. Jusfy: dizer o fornecedor (ou mandar a NF).</t>
  </si>
  <si>
    <t>Supplies</t>
  </si>
  <si>
    <t>4.1.2.02.004 Serviços de Limpeza</t>
  </si>
  <si>
    <t>O P&amp;L não abre esta linha por fornecedor e o razão não mostra qual fornecedor falta/sobra. Razão tem R$ 813 a menos que o gerencial em Mar. Provisionar a diferença em Mar. Jusfy: dizer o fornecedor (ou mandar a NF).</t>
  </si>
  <si>
    <t>O P&amp;L não abre esta linha por fornecedor e o razão não mostra qual fornecedor falta/sobra. Razão tem R$ 2.118 a menos que o gerencial em Mar. Provisionar a diferença em Mar. Jusfy: dizer o fornecedor (ou mandar a NF).</t>
  </si>
  <si>
    <t>O P&amp;L não abre esta linha por fornecedor e o razão não mostra qual fornecedor falta/sobra. Razão tem R$ 590 a menos que o gerencial em Mar. Provisionar a diferença em Mar. Jusfy: dizer o fornecedor (ou mandar a NF).</t>
  </si>
  <si>
    <t>O P&amp;L não abre esta linha por fornecedor e o razão não mostra qual fornecedor falta/sobra. Razão tem R$ 2.525 a menos que o gerencial em Mar. Provisionar a diferença em Mar. Jusfy: dizer o fornecedor (ou mandar a NF).</t>
  </si>
  <si>
    <t>O P&amp;L não abre esta linha por fornecedor e o razão não mostra qual fornecedor falta/sobra. Razão tem R$ 80 a menos que o gerencial em Mar. Provisionar a diferença em Mar. Jusfy: dizer o fornecedor (ou mandar a NF).</t>
  </si>
  <si>
    <t>O P&amp;L não abre esta linha por fornecedor e o razão não mostra qual fornecedor falta/sobra. Razão tem R$ 6.941 a menos que o gerencial em Mar. Provisionar a diferença em Mar. Jusfy: dizer o fornecedor (ou mandar a NF).</t>
  </si>
  <si>
    <t>O P&amp;L não abre esta linha por fornecedor e o razão não mostra qual fornecedor falta/sobra. Baixar em Mar a provisão de Fev (R$ 174). Jusfy: dizer o fornecedor (ou mandar a NF).</t>
  </si>
  <si>
    <t>O P&amp;L não abre esta linha por fornecedor e o razão não mostra qual fornecedor falta/sobra. Razão tem R$ 4.345 a menos que o gerencial em Mar. Provisionar a diferença em Mar. Jusfy: dizer o fornecedor (ou mandar a NF).</t>
  </si>
  <si>
    <t>O P&amp;L não abre esta linha por fornecedor e o razão não mostra qual fornecedor falta/sobra. Reconhecer em Abr os R$ 557 revertidos de Mar. Jusfy: dizer o fornecedor (ou mandar a NF).</t>
  </si>
  <si>
    <t>O P&amp;L não abre esta linha por fornecedor e o razão não mostra qual fornecedor falta/sobra. Razão tem R$ 257 a menos que o gerencial em Abr. Provisionar a diferença em Abr. Jusfy: dizer o fornecedor (ou mandar a NF).</t>
  </si>
  <si>
    <t>O P&amp;L não abre esta linha por fornecedor e o razão não mostra qual fornecedor falta/sobra. Razão tem R$ 2.413 a menos que o gerencial em Abr. Provisionar a diferença em Abr. Jusfy: dizer o fornecedor (ou mandar a NF).</t>
  </si>
  <si>
    <t>4.1.2.05.007 Feiras e Eventos</t>
  </si>
  <si>
    <t>O P&amp;L não abre esta linha por fornecedor e o razão não mostra qual fornecedor falta/sobra. R$ 7.713 lançados em Abr são de Mai (lançado antes da competência). Reverter em Abr. Jusfy: dizer o fornecedor (ou mandar a NF).</t>
  </si>
  <si>
    <t>O P&amp;L não abre esta linha por fornecedor e o razão não mostra qual fornecedor falta/sobra. R$ 1.064 de Abr foram lançados em Mai. Provisionar em Abr. Jusfy: dizer o fornecedor (ou mandar a NF).</t>
  </si>
  <si>
    <t>O P&amp;L não abre esta linha por fornecedor e o razão não mostra qual fornecedor falta/sobra. Razão tem R$ 1.029 a menos que o gerencial em Abr. Provisionar a diferença em Abr. Jusfy: dizer o fornecedor (ou mandar a NF).</t>
  </si>
  <si>
    <t>O P&amp;L não abre esta linha por fornecedor e o razão não mostra qual fornecedor falta/sobra. Razão tem R$ 2.050 a menos que o gerencial em Abr. Provisionar a diferença em Abr. Jusfy: dizer o fornecedor (ou mandar a NF).</t>
  </si>
  <si>
    <t>O P&amp;L não abre esta linha por fornecedor e o razão não mostra qual fornecedor falta/sobra. Razão tem R$ 1.431 a menos que o gerencial em Abr. Provisionar a diferença em Abr. Jusfy: dizer o fornecedor (ou mandar a NF).</t>
  </si>
  <si>
    <t>O P&amp;L não abre esta linha por fornecedor e o razão não mostra qual fornecedor falta/sobra. Razão tem R$ 341 a menos que o gerencial em Abr. Provisionar a diferença em Abr. Jusfy: dizer o fornecedor (ou mandar a NF).</t>
  </si>
  <si>
    <t>O P&amp;L não abre esta linha por fornecedor e o razão não mostra qual fornecedor falta/sobra. R$ 373 de Abr foram lançados em Mai. Provisionar em Abr. Jusfy: dizer o fornecedor (ou mandar a NF).</t>
  </si>
  <si>
    <t>O P&amp;L não abre esta linha por fornecedor e o razão não mostra qual fornecedor falta/sobra. Razão tem R$ 414 a menos que o gerencial em Abr. Provisionar a diferença em Abr. Jusfy: dizer o fornecedor (ou mandar a NF).</t>
  </si>
  <si>
    <t>O P&amp;L não abre esta linha por fornecedor e o razão não mostra qual fornecedor falta/sobra. R$ 183 de Abr foram lançados em Mai. Provisionar em Abr. Jusfy: dizer o fornecedor (ou mandar a NF).</t>
  </si>
  <si>
    <t>O P&amp;L não abre esta linha por fornecedor e o razão não mostra qual fornecedor falta/sobra. Razão tem R$ 4.298 a menos que o gerencial em Abr. Provisionar a diferença em Abr. Jusfy: dizer o fornecedor (ou mandar a NF).</t>
  </si>
  <si>
    <t>O P&amp;L não abre esta linha por fornecedor e o razão não mostra qual fornecedor falta/sobra. Razão tem R$ 1.320 a menos que o gerencial em Mai. Provisionar a diferença em Mai. Jusfy: dizer o fornecedor (ou mandar a NF).</t>
  </si>
  <si>
    <t>O P&amp;L não abre esta linha por fornecedor e o razão não mostra qual fornecedor falta/sobra. R$ 2.138 lançados em Mai são de Jun (lançado antes da competência). Reverter em Mai. Jusfy: dizer o fornecedor (ou mandar a NF).</t>
  </si>
  <si>
    <t>O P&amp;L não abre esta linha por fornecedor e o razão não mostra qual fornecedor falta/sobra. Razão tem R$ 690 a menos que o gerencial em Mai. Provisionar a diferença em Mai. Jusfy: dizer o fornecedor (ou mandar a NF).</t>
  </si>
  <si>
    <t>O P&amp;L não abre esta linha por fornecedor e o razão não mostra qual fornecedor falta/sobra. Reconhecer em Mai os R$ 7.713 revertidos de Abr. Jusfy: dizer o fornecedor (ou mandar a NF).</t>
  </si>
  <si>
    <t>O P&amp;L não abre esta linha por fornecedor e o razão não mostra qual fornecedor falta/sobra. R$ 1.165 de Mai foram lançados em Jun. Provisionar em Mai. Jusfy: dizer o fornecedor (ou mandar a NF).</t>
  </si>
  <si>
    <t>O P&amp;L não abre esta linha por fornecedor e o razão não mostra qual fornecedor falta/sobra. Razão tem R$ 21.337 a menos que o gerencial em Mai. Provisionar a diferença em Mai. Jusfy: dizer o fornecedor (ou mandar a NF).</t>
  </si>
  <si>
    <t>O P&amp;L não abre esta linha por fornecedor e o razão não mostra qual fornecedor falta/sobra. Baixar em Mai a provisão de Abr (R$ 1.064). Jusfy: dizer o fornecedor (ou mandar a NF).</t>
  </si>
  <si>
    <t>O P&amp;L não abre esta linha por fornecedor e o razão não mostra qual fornecedor falta/sobra. R$ 194 de Mai foram lançados em Jun. Provisionar em Mai. Jusfy: dizer o fornecedor (ou mandar a NF).</t>
  </si>
  <si>
    <t>O P&amp;L não abre esta linha por fornecedor e o razão não mostra qual fornecedor falta/sobra. Razão tem R$ 319 a menos que o gerencial em Mai. Provisionar a diferença em Mai. Jusfy: dizer o fornecedor (ou mandar a NF).</t>
  </si>
  <si>
    <t>O P&amp;L não abre esta linha por fornecedor e o razão não mostra qual fornecedor falta/sobra. Razão tem R$ 1.508 a menos que o gerencial em Mai. Provisionar a diferença em Mai. Jusfy: dizer o fornecedor (ou mandar a NF).</t>
  </si>
  <si>
    <t>O P&amp;L não abre esta linha por fornecedor e o razão não mostra qual fornecedor falta/sobra. Baixar em Mai a provisão de Abr (R$ 373). Jusfy: dizer o fornecedor (ou mandar a NF).</t>
  </si>
  <si>
    <t>O P&amp;L não abre esta linha por fornecedor e o razão não mostra qual fornecedor falta/sobra. R$ 2.120 lançados em Mai são de Jun (lançado antes da competência). Reverter em Mai. Jusfy: dizer o fornecedor (ou mandar a NF).</t>
  </si>
  <si>
    <t>O P&amp;L não abre esta linha por fornecedor e o razão não mostra qual fornecedor falta/sobra. Razão tem R$ 9.489 a menos que o gerencial em Mai. Provisionar a diferença em Mai. Jusfy: dizer o fornecedor (ou mandar a NF).</t>
  </si>
  <si>
    <t>O P&amp;L não abre esta linha por fornecedor e o razão não mostra qual fornecedor falta/sobra. Razão tem R$ 25.541 a menos que o gerencial em Mai. Provisionar a diferença em Mai. Jusfy: dizer o fornecedor (ou mandar a NF).</t>
  </si>
  <si>
    <t>O P&amp;L não abre esta linha por fornecedor e o razão não mostra qual fornecedor falta/sobra. Baixar em Mai a provisão de Abr (R$ 183). Jusfy: dizer o fornecedor (ou mandar a NF).</t>
  </si>
  <si>
    <t>O P&amp;L não abre esta linha por fornecedor e o razão não mostra qual fornecedor falta/sobra. Razão tem R$ 2.011 a menos que o gerencial em Jun. Provisionar a diferença em Jun. Jusfy: dizer o fornecedor (ou mandar a NF).</t>
  </si>
  <si>
    <t>O P&amp;L não abre esta linha por fornecedor e o razão não mostra qual fornecedor falta/sobra. Reconhecer em Jun os R$ 2.138 revertidos de Mai. Jusfy: dizer o fornecedor (ou mandar a NF).</t>
  </si>
  <si>
    <t>O P&amp;L não abre esta linha por fornecedor e o razão não mostra qual fornecedor falta/sobra. Razão tem R$ 195 a menos que o gerencial em Jun. Provisionar a diferença em Jun. Jusfy: dizer o fornecedor (ou mandar a NF).</t>
  </si>
  <si>
    <t>O P&amp;L não abre esta linha por fornecedor e o razão não mostra qual fornecedor falta/sobra. Baixar em Jun a provisão de Mai (R$ 1.165). Jusfy: dizer o fornecedor (ou mandar a NF).</t>
  </si>
  <si>
    <t>O P&amp;L não abre esta linha por fornecedor e o razão não mostra qual fornecedor falta/sobra. Razão tem R$ 1.430 a menos que o gerencial em Jun. Provisionar a diferença em Jun. Jusfy: dizer o fornecedor (ou mandar a NF).</t>
  </si>
  <si>
    <t>O P&amp;L não abre esta linha por fornecedor e o razão não mostra qual fornecedor falta/sobra. Baixar em Jun a provisão de Mai (R$ 194). Jusfy: dizer o fornecedor (ou mandar a NF).</t>
  </si>
  <si>
    <t>O P&amp;L não abre esta linha por fornecedor e o razão não mostra qual fornecedor falta/sobra. Razão tem R$ 1.632 a menos que o gerencial em Jun. Provisionar a diferença em Jun. Jusfy: dizer o fornecedor (ou mandar a NF).</t>
  </si>
  <si>
    <t>O P&amp;L não abre esta linha por fornecedor e o razão não mostra qual fornecedor falta/sobra. Razão tem R$ 120 a menos que o gerencial em Jun. Provisionar a diferença em Jun. Jusfy: dizer o fornecedor (ou mandar a NF).</t>
  </si>
  <si>
    <t>O P&amp;L não abre esta linha por fornecedor e o razão não mostra qual fornecedor falta/sobra. NF de Jun ainda não entrou. Provisionar R$ 6.013 em Jun (baixa no mês em que a NF entrar). Jusfy: dizer o fornecedor (ou mandar a NF).</t>
  </si>
  <si>
    <t>O P&amp;L não abre esta linha por fornecedor e o razão não mostra qual fornecedor falta/sobra. Reconhecer em Jun os R$ 2.120 revertidos de Mai. Jusfy: dizer o fornecedor (ou mandar a NF).</t>
  </si>
  <si>
    <t>O P&amp;L não abre esta linha por fornecedor e o razão não mostra qual fornecedor falta/sobra. NF de Jun ainda não entrou. Provisionar R$ 2.456 em Jun (baixa no mês em que a NF entrar). Jusfy: dizer o fornecedor (ou mandar a NF).</t>
  </si>
  <si>
    <t>O P&amp;L não abre esta linha por fornecedor e o razão não mostra qual fornecedor falta/sobra. NF de Jun ainda não entrou. Provisionar R$ 3.347 em Jun (baixa no mês em que a NF entrar). Jusfy: dizer o fornecedor (ou mandar a NF).</t>
  </si>
  <si>
    <t>O P&amp;L não abre esta linha por fornecedor e o razão não mostra qual fornecedor falta/sobra. NF de Jun ainda não entrou. Provisionar R$ 1.739 em Jun (baixa no mês em que a NF entrar). Jusfy: dizer o fornecedor (ou mandar a NF).</t>
  </si>
  <si>
    <t>O P&amp;L não abre esta linha por fornecedor e o razão não mostra qual fornecedor falta/sobra. NF de Jun ainda não entrou. Provisionar R$ 558 em Jun (baixa no mês em que a NF entrar). Jusfy: dizer o fornecedor (ou mandar a NF).</t>
  </si>
  <si>
    <t>TOTAL (81 linhas)</t>
  </si>
  <si>
    <t>B4. Pendência Jusfy — folha: painel de pessoas × cadastro/ERP</t>
  </si>
  <si>
    <t>Assunto</t>
  </si>
  <si>
    <t>O que é / o que falta</t>
  </si>
  <si>
    <t>Distrato de Aline Leidiane Trindade de Oliveira</t>
  </si>
  <si>
    <t>Está no ERP (competência e vencimento jun/26, conta 4.1.6.02.007) e no razão, mas o Contract Termination do painel de pessoas de junho só tem R$ 3.000 (Vitor). Jusfy: confirmar se entra no P&amp;L de junho.</t>
  </si>
  <si>
    <t>Distrato de CELINE MICKELA GUTERRES DA SILVA</t>
  </si>
  <si>
    <t>Distrato de ELIZANGELA FERNANDES BORGES</t>
  </si>
  <si>
    <t>Distrato de Pedro Henrique Candido Santos</t>
  </si>
  <si>
    <t>Distrato de Bianca da Silveira Lessa</t>
  </si>
  <si>
    <t>Distrato de JULIA THIESEN SCHERER</t>
  </si>
  <si>
    <t>Área custo × despesa (Engenharia no painel × no Cadastro)</t>
  </si>
  <si>
    <t>O painel conta como Engenharia (custo) cerca de R$ 11.637 a mais que as pessoas de Engenharia no Cadastro; o mesmo valor aparece a mais em despesa. Jusfy: dizer qual pessoa o painel põe em Engenharia e o Cadastro não.</t>
  </si>
  <si>
    <t>O painel conta como Engenharia (custo) cerca de R$ 9.900 a mais que as pessoas de Engenharia no Cadastro; o mesmo valor aparece a mais em despesa. Jusfy: dizer qual pessoa o painel põe em Engenharia e o Cadastro não.</t>
  </si>
  <si>
    <t>O painel conta como Engenharia (custo) cerca de R$ 8.821 a mais que as pessoas de Engenharia no Cadastro; o mesmo valor aparece a mais em despesa. Jusfy: dizer qual pessoa o painel põe em Engenharia e o Cadastro não.</t>
  </si>
  <si>
    <t>O painel conta como Engenharia (custo) cerca de R$ 8.823 a mais que as pessoas de Engenharia no Cadastro; o mesmo valor aparece a mais em despesa. Jusfy: dizer qual pessoa o painel põe em Engenharia e o Cadastro não.</t>
  </si>
  <si>
    <t>O painel conta como Engenharia (custo) cerca de R$ 10.026 a mais que as pessoas de Engenharia no Cadastro; o mesmo valor aparece a mais em despesa. Jusfy: dizer qual pessoa o painel põe em Engenharia e o Cadastro não.</t>
  </si>
  <si>
    <t>O painel conta como Engenharia (custo) cerca de R$ 10.706 a mais que as pessoas de Engenharia no Cadastro; o mesmo valor aparece a mais em despesa. Jusfy: dizer qual pessoa o painel põe em Engenharia e o Cadastro não.</t>
  </si>
  <si>
    <t>C. Parece erro, mas o P&amp;L diz que o valor é devido — não mexer sem a Jusfy confirmar</t>
  </si>
  <si>
    <t>Fornecedor</t>
  </si>
  <si>
    <t>O que parecia</t>
  </si>
  <si>
    <t>Por que não mexer</t>
  </si>
  <si>
    <t>ESTORNAR PROVISÃO: Provisão de Fev (R$ 8.743) nunca foi revertida. Não há NF desse valor no semestre: estornar.</t>
  </si>
  <si>
    <t>Se fizer este ajuste, o fornecedor fica mais longe do P&amp;L do mês — ou seja, o P&amp;L tem esse valor. Jusfy confirma antes.</t>
  </si>
  <si>
    <t>Facebook Ads + FACEBOOK + Facebook</t>
  </si>
  <si>
    <t>ESTORNAR PROVISÃO: Provisão de Jan (R$ 65.490,8) nunca foi revertida. Não há NF desse valor no semestre: estornar.</t>
  </si>
  <si>
    <t>ESTORNAR PROVISÃO: Provisão de Fev (R$ 32.237) nunca foi revertida. Não há NF desse valor no semestre: estornar.</t>
  </si>
  <si>
    <t>ESTORNAR PROVISÃO: Provisão de Mai (R$ 119,12) nunca foi revertida e a NF 758 do mesmo valor entrou em Jun. Estornar a provisão em Jun.</t>
  </si>
  <si>
    <t>EXCLUIR DUPLICADO: Mesmo valor (R$ 120) lançado duas vezes em Jun: a NF 758 já está lançada e o pagamento no cartão do mesmo valor também foi lançado como despesa. Excluir o lançamento do cartão.</t>
  </si>
  <si>
    <t>ESTORNAR PROVISÃO: Provisão de Fev (R$ 9.500) nunca foi revertida. Não há NF desse valor no semestre: estornar.</t>
  </si>
  <si>
    <t>ESTORNAR PROVISÃO: Provisão de Mai (R$ 10.000) nunca foi revertida. Não há NF desse valor no semestre: estornar.</t>
  </si>
  <si>
    <t>ESTORNAR PROVISÃO: Provisão de Jan (R$ 29.851) nunca foi revertida. Não há NF desse valor no semestre: estornar.</t>
  </si>
  <si>
    <t>EXCLUIR DUPLICADO: NF 45 (R$ 7.618, Mar) repete o valor da NF 202637 (Mar), que já cobre o gerencial de Mar. O ERP não tem outro pagamento desse valor: excluir a NF 45 (lançada em dobro).</t>
  </si>
  <si>
    <t>EXCLUIR DUPLICADO: Mesmo valor (R$ 50.000) lançado duas vezes em Fev: a NF 5 já está lançada e o baixa de adiantamento do mesmo valor também foi lançado como despesa. Excluir o lançamento sem NF.</t>
  </si>
  <si>
    <t>ESTORNAR PROVISÃO: Provisão de Fev (R$ 7.500) nunca foi revertida e a NF 16 do mesmo valor entrou em Mar. Estornar a provisão em Mar.</t>
  </si>
  <si>
    <t>ESTORNAR PROVISÃO: Provisão de Jan (R$ 33.250) nunca foi revertida. Não há NF desse valor no semestre: estornar.</t>
  </si>
  <si>
    <t>ESTORNAR PROVISÃO: Provisão de Mai (R$ 19.000) nunca foi revertida. Não há NF desse valor no semestre: estornar.</t>
  </si>
  <si>
    <t>ESTORNAR PROVISÃO: Provisão de Mai (R$ 17.500) nunca foi revertida e a NF 51 do mesmo valor entrou em Mai. Estornar a provisão em Mai.</t>
  </si>
  <si>
    <t>ESTORNAR PROVISÃO: Provisão de Mai (R$ 520) nunca foi revertida. Não há NF desse valor no semestre: estornar.</t>
  </si>
  <si>
    <t>Deyvid Kenid da Silva</t>
  </si>
  <si>
    <t>ESTORNAR PROVISÃO: Provisão de Mai (R$ 26.000) nunca foi revertida e a NF 7 do mesmo valor entrou em Jun. Estornar a provisão em Jun.</t>
  </si>
  <si>
    <t>Guia da Alma (benefício psicológico)</t>
  </si>
  <si>
    <t>ESTORNAR PROVISÃO: Provisão de Jan (R$ 1.797) nunca foi revertida e a NF do mesmo valor entrou em Fev. Estornar a provisão em Fev.</t>
  </si>
  <si>
    <t>EXCLUIR DUPLICADO: O pagamento de Jun (cartão, R$ 1.874) cita a NF 1936, que já está lançada como despesa em Mai. Pagamento não é despesa: excluir a linha do pagamento (baixar contra fornecedores).</t>
  </si>
  <si>
    <t>Validar com a tesouraria — notas do razão que não estão na base da Mari</t>
  </si>
  <si>
    <t>Cada linha é uma nota que a Syhus lançou e que não aparece no ERP (procurada por fornecedor e valor, de 2 meses antes a 1 mês depois, inclusive quando o ERP quebra a nota por centro de custo). Tesouraria marca se foi paga e se é da Jusfy. Se foi paga e é da Jusfy: falta no ERP (entra no P&amp;L). Se não: a Syhus exclui. "Diferença do fornecedor no mês" é quanto o razão tem a mais que o P&amp;L naquele fornecedor e mês.</t>
  </si>
  <si>
    <t>NF / documento</t>
  </si>
  <si>
    <t>Histórico no razão</t>
  </si>
  <si>
    <t>Diferença do fornecedor no mês</t>
  </si>
  <si>
    <t>Foi paga? (S/N)</t>
  </si>
  <si>
    <t>É da Jusfy? (S/N)</t>
  </si>
  <si>
    <t>31339</t>
  </si>
  <si>
    <t>4.1.6.01.001 Serviços Contábeis</t>
  </si>
  <si>
    <t>Compra/Serviço Tomado conforme nota fiscal nº 31339 do fornecedor SYHUS CONTABILIDADE SOCIEDADE SIMPLES LTDA</t>
  </si>
  <si>
    <t>724 - GUILHERME LOPES BRANCO 03239562030 Compra/Serviço Tomado conforme nota fiscal nº 22 do fornecedor GUILHERME LOPES BRANCO 03239562030</t>
  </si>
  <si>
    <t>4.1.8.09.001 Brindes</t>
  </si>
  <si>
    <t>740 - LILIANE MAZZUIA PEREIRA Compra/Serviço Tomado conforme nota fiscal nº 563 do fornecedor LILIANE MAZZUIA PEREIRA</t>
  </si>
  <si>
    <t>42999</t>
  </si>
  <si>
    <t>742 - 3M AGROPEC E COM LTDA Compra/Serviço Tomado conforme nota fiscal nº 42999 do fornecedor 3M AGROPEC E COM LTDA</t>
  </si>
  <si>
    <t>83916</t>
  </si>
  <si>
    <t>736 - FLOR COMERCIO E IMPORTACAO LTDA Compra/Serviço Tomado conforme nota fiscal nº 83916 do fornecedor FLOR COMERCIO E IMPORTACAO LTDA</t>
  </si>
  <si>
    <t>64921937</t>
  </si>
  <si>
    <t>620 - DELAINE ILHA DA SILVA 02466060027 Compra/Serviço Tomado conforme nota fiscal nº 64921937 do fornecedor DELAINE ILHA DA SILVA 02466060027</t>
  </si>
  <si>
    <t>784</t>
  </si>
  <si>
    <t>483 - ONIX MULTICOISAS  LTDA Compra/Serviço Tomado conforme nota fiscal nº 784 do fornecedor ONIX MULTICOISAS  LTDA</t>
  </si>
  <si>
    <t>4.1.2.05.001 Copa e Cozinha</t>
  </si>
  <si>
    <t>738 - EXPRESSITO MAQUINAS E GRAOS PARA CAFE ESPRESSO LTDA Compra/Serviço Tomado conforme nota fiscal nº 55 do fornecedor EXPRESSITO MAQUINAS E GRAOS PARA CAFE ESPRESSO LTDA</t>
  </si>
  <si>
    <t>29160</t>
  </si>
  <si>
    <t>739 - EMPORIO DE DOCES AVELOZ LTDA Compra/Serviço Tomado conforme nota fiscal nº 29160 do fornecedor EMPORIO DE DOCES AVELOZ LTDA</t>
  </si>
  <si>
    <t>19821</t>
  </si>
  <si>
    <t>735 - MADE IN NATURAL COMERCIO DE ALIMENTOS E PRODUTOS ECOLOGICOS Compra/Serviço Tomado conforme nota fiscal nº 19821 do fornecedor MADE IN NATURAL COMERCIO DE ALIMENTOS E PRODUTOS ECOLOGICOS</t>
  </si>
  <si>
    <t>907897</t>
  </si>
  <si>
    <t>731 - GJK SHOPPING LTDA Compra/Serviço Tomado conforme nota fiscal nº 907897 do fornecedor GJK SHOPPING LTDA</t>
  </si>
  <si>
    <t>28592</t>
  </si>
  <si>
    <t>744 - CIA ZAFFARI COM E IND  - LOJA 24 Compra/Serviço Tomado conforme nota fiscal nº 28592 do fornecedor CIA ZAFFARI COM E IND  - LOJA 24</t>
  </si>
  <si>
    <t>10988</t>
  </si>
  <si>
    <t>730 - ALFA MAQUINAS DE CAFE LTDA Compra/Serviço Tomado conforme nota fiscal nº 10988 do fornecedor ALFA MAQUINAS DE CAFE LTDA</t>
  </si>
  <si>
    <t>300446</t>
  </si>
  <si>
    <t>4.1.2.05.003 Material de Escritório</t>
  </si>
  <si>
    <t>732 - SACOLA KRAFT COMERCIO DE SACOS E SACOLAS LTDA Compra/Serviço Tomado conforme nota fiscal nº 300446 do fornecedor SACOLA KRAFT COMERCIO DE SACOS E SACOLAS LTDA</t>
  </si>
  <si>
    <t>26028</t>
  </si>
  <si>
    <t>733 - LUIZ FERNANDO MELGAR Compra/Serviço Tomado conforme nota fiscal nº 26028 do fornecedor LUIZ FERNANDO MELGAR</t>
  </si>
  <si>
    <t>817068</t>
  </si>
  <si>
    <t>737 - AGP TECNOLOGIA EM INFORMATICA DO BRASIL Compra/Serviço Tomado conforme nota fiscal nº 817068 do fornecedor AGP TECNOLOGIA EM INFORMATICA DO BRASIL</t>
  </si>
  <si>
    <t>5574</t>
  </si>
  <si>
    <t>734 - VEGSIM LTDA Compra/Serviço Tomado conforme nota fiscal nº 5574 do fornecedor VEGSIM LTDA</t>
  </si>
  <si>
    <t>3258</t>
  </si>
  <si>
    <t>741 - VITAO ALIMENTOS LTDA Compra/Serviço Tomado conforme nota fiscal nº 3258 do fornecedor VITAO ALIMENTOS LTDA</t>
  </si>
  <si>
    <t>1762064</t>
  </si>
  <si>
    <t>728 - SWILE DO BRASIL S.A. Compra/Serviço Tomado conforme nota fiscal nº 1762064 do fornecedor SWILE DO BRASIL S.A.</t>
  </si>
  <si>
    <t>1789572</t>
  </si>
  <si>
    <t>728 - SWILE DO BRASIL S.A. Compra/Serviço Tomado conforme nota fiscal nº 1789572 do fornecedor SWILE DO BRASIL S.A.</t>
  </si>
  <si>
    <t>26251</t>
  </si>
  <si>
    <t>722 - CARLOS EDUARDO DIAS DOS SANTOS Compra/Serviço Tomado conforme nota fiscal nº 26251 do fornecedor CARLOS EDUARDO DIAS DOS SANTOS</t>
  </si>
  <si>
    <t>26269</t>
  </si>
  <si>
    <t>722 - CARLOS EDUARDO DIAS DOS SANTOS Compra/Serviço Tomado conforme nota fiscal nº 26269 do fornecedor CARLOS EDUARDO DIAS DOS SANTOS</t>
  </si>
  <si>
    <t>399 - MONTANDON SARAIVA SERVICOS ADMINISTRATIVOS LTDA Compra/Serviço Tomado conforme nota fiscal nº 1 do fornecedor MONTANDON SARAIVA SERVICOS ADMINISTRATIVOS LTDA</t>
  </si>
  <si>
    <t>719 - 36.139.757 ALAN OLIVEIRA Compra/Serviço Tomado conforme nota fiscal nº 25 do fornecedor 36.139.757 ALAN OLIVEIRA</t>
  </si>
  <si>
    <t>930 - Provisão de Fornecedores Compra/Serviço Tomado conforme nota fiscal nº   563 do fornecedor ZAPPA PERSONALIZADOS</t>
  </si>
  <si>
    <t>658 - BEYAUT LTDA Compra/Serviço Tomado conforme nota fiscal nº 4 do fornecedor BEYAUT LTDA</t>
  </si>
  <si>
    <t>16659848</t>
  </si>
  <si>
    <t>432 - GOOGLE CLOUD BRASIL COMPUTACAO E SERVICOS DE DADOS LTDA. Compra/Serviço Tomado conforme nota fiscal nº 16659848 do fornecedor GOOGLE CLOUD BRASIL COMPUTACAO E SERVICOS DE DADOS LTDA.</t>
  </si>
  <si>
    <t>11572657</t>
  </si>
  <si>
    <t>432 - GOOGLE CLOUD BRASIL COMPUTACAO E SERVICOS DE DADOS LTDA. Compra/Serviço Tomado conforme nota fiscal nº 11572657 do fornecedor GOOGLE CLOUD BRASIL COMPUTACAO E SERVICOS DE DADOS LTDA.</t>
  </si>
  <si>
    <t>16995174</t>
  </si>
  <si>
    <t>432 - GOOGLE CLOUD BRASIL COMPUTACAO E SERVICOS DE DADOS LTDA. Compra/Serviço Tomado conforme nota fiscal nº 16995174 do fornecedor GOOGLE CLOUD BRASIL COMPUTACAO E SERVICOS DE DADOS LTDA.</t>
  </si>
  <si>
    <t>56</t>
  </si>
  <si>
    <t>405 - KARINE C GOMBERG SERVICOS ADMINISTRATIVOS Compra/Serviço Tomado conforme nota fiscal nº 56 do fornecedor KARINE C GOMBERG SERVICOS ADMINISTRATIVOS</t>
  </si>
  <si>
    <t>758 - CAPI CANDIA CURSOS LTDA Compra/Serviço Tomado conforme nota fiscal nº 26 do fornecedor CAPI CANDIA CURSOS LTDA</t>
  </si>
  <si>
    <t>3535402</t>
  </si>
  <si>
    <t>375 - OMIEXPERIENCE LTDA. Compra/Serviço Tomado conforme nota fiscal nº 3535402 do fornecedor OMIEXPERIENCE LTDA.</t>
  </si>
  <si>
    <t>1033</t>
  </si>
  <si>
    <t>399 - MONTANDON SARAIVA SERVICOS ADMINISTRATIVOS LTDA Compra/Serviço Tomado conforme nota fiscal nº 1033 do fornecedor MONTANDON SARAIVA SERVICOS ADMINISTRATIVOS LTDA</t>
  </si>
  <si>
    <t>626 - Cartão de Crédito - Conta Simples Scale PAGAMENTO NF FATURA PARC 004/025 IPROYAL</t>
  </si>
  <si>
    <t>626 - Cartão de Crédito - Conta Simples Scale PAGAMENTO NF FATURA PARC 008/008 OPENAI  CHATGPT</t>
  </si>
  <si>
    <t>626 - Cartão de Crédito - Conta Simples Scale PAGAMENTO NF FATURA PARC 005/005 OPENAI  CHATGPT</t>
  </si>
  <si>
    <t>626 - Cartão de Crédito - Conta Simples Scale PAGAMENTO NF FATURA TAM LINHAS AEREAS S/A.</t>
  </si>
  <si>
    <t>LA9571466DUOP</t>
  </si>
  <si>
    <t>626 - Cartão de Crédito - Conta Simples Scale PAGAMENTO NF LA9571466DUOP PARC 001/004 TAM LINHAS AEREAS S/A.</t>
  </si>
  <si>
    <t>342 - Cartão de Crédito - Kamino PAGAMENTO NF FATURA PARC 004/004 TAM LINHAS AEREAS S/A.</t>
  </si>
  <si>
    <t>10157328</t>
  </si>
  <si>
    <t>19 - Banco Omie.Cash PAGAMENTO NF 10157328 22793 CONSULTORIA EM TECNOLOGIA DA INFORMACAO LTDA - PAGAMENTO CONFIRMADO PELO BANCO A PARTIR DO OMIE.CASH. FORMA DE PAGAMENTO: PIX CODIGO DE AUTENTICACAO: E13203354202604241716497CCFF7693</t>
  </si>
  <si>
    <t>RECIBO</t>
  </si>
  <si>
    <t>19 - Banco Omie.Cash PAGAMENTO NF RECIBO HEITOR AMARAL RIBEIRO - PAGAMENTO CONFIRMADO PELO BANCO A PARTIR DO OMIE.CASH. FORMA DE PAGAMENTO: PIX CODIGO DE AUTENTICACAO: E13203354202604101822A38A80CB526</t>
  </si>
  <si>
    <t>19 - Banco Omie.Cash PAGAMENTO NF RECIBO ANA GRAZIELLI SOUZA DE OLIVEIRA ASSIS - PAGAMENTO CONFIRMADO PELO BANCO A PARTIR DO OMIE.CASH. FORMA DE PAGAMENTO: PIX CODIGO DE AUTENTICACAO: E1320335420260410182295A02D5E916</t>
  </si>
  <si>
    <t>1067</t>
  </si>
  <si>
    <t>399 - MONTANDON SARAIVA SERVICOS ADMINISTRATIVOS LTDA Compra/Serviço Tomado conforme nota fiscal nº 1067 do fornecedor MONTANDON SARAIVA SERVICOS ADMINISTRATIVOS LTDA</t>
  </si>
  <si>
    <t>785 - 65.353.973 ALINE LEIDIANE TRINDADE DE OLIVEIRA Compra/Serviço Tomado conforme nota fiscal nº 4 do fornecedor 65.353.973 ALINE LEIDIANE TRINDADE DE OLIVEIRA</t>
  </si>
  <si>
    <t>76417177</t>
  </si>
  <si>
    <t>419 - 36.256.578 CHRISTIAN RODRIGO CORRALES (02/03/2026) PAGAMENTO NF 76417177 CHRISTIAN RODRIGO CORRALES - PAGAMENTO CONFIRMADO PELO BANCO A PARTIR DO OMIE.CASH. FORMA DE PAGAMENTO: PIX CODIGO DE AUTENTICACAO: E1320335420260302150002AC909C6D8</t>
  </si>
  <si>
    <t>626 - Cartão de Crédito - Conta Simples Scale PAGAMENTO TAM LINHAS AEREAS S/A. NF FATURA</t>
  </si>
  <si>
    <t>341 - Cartão de Crédito - C6 PAGAMENTO GOL LINHAS AEREAS S.A. NF FATURA PARC 004/005</t>
  </si>
  <si>
    <t>341 - Cartão de Crédito - C6 PAGAMENTO TAM LINHAS AEREAS S/A. NF FATURA PARC 003/004</t>
  </si>
  <si>
    <t>626 - Cartão de Crédito - Conta Simples Scale PAGAMENTO TAM LINHAS AEREAS S/A. NF LA9571466DUOP PARC 002/004</t>
  </si>
  <si>
    <t>342 - Cartão de Crédito - Kamino PAGAMENTO GOL LINHAS AEREAS INTELIGENTES S.A. NF FATURA PARC 005/005</t>
  </si>
  <si>
    <t>342 - Cartão de Crédito - Kamino PAGAMENTO TAM LINHAS AEREAS S/A. NF FATURA</t>
  </si>
  <si>
    <t>626 - Cartão de Crédito - Conta Simples Scale PAGAMENTO LINKEDIN NF FATURA PARC 008/025</t>
  </si>
  <si>
    <t>460 - 62.078.883 DENER RAFAEL SANTOS DO NASCIMENTO Compra/Serviço Tomado conforme nota fiscal nº 2 do fornecedor 62.078.883 DENER RAFAEL SANTOS DO NASCIMENTO</t>
  </si>
  <si>
    <t>460 - 62.078.883 DENER RAFAEL SANTOS DO NASCIMENTO Compra/Serviço Tomado conforme nota fiscal nº 15 do fornecedor 62.078.883 DENER RAFAEL SANTOS DO NASCIMENTO</t>
  </si>
  <si>
    <t>626 - Cartão de Crédito - Conta Simples Scale PAGAMENTO OPENAI  CHATGPT NF FATURA PARC 001/002</t>
  </si>
  <si>
    <t>626 - Cartão de Crédito - Conta Simples Scale PAGAMENTO FIGMA NF FATURA PARC 007/008</t>
  </si>
  <si>
    <t>16533580</t>
  </si>
  <si>
    <t>377 - IFOOD BENEFICIOS E SERVICOS LTDA. Compra/Serviço Tomado conforme nota fiscal nº 16533580 do fornecedor IFOOD BENEFICIOS E SERVICOS LTDA.</t>
  </si>
  <si>
    <t>177431</t>
  </si>
  <si>
    <t>377 - IFOOD BENEFICIOS E SERVICOS LTDA. Compra/Serviço Tomado conforme nota fiscal nº 177431 do fornecedor IFOOD BENEFICIOS E SERVICOS LTDA.</t>
  </si>
  <si>
    <t>1785632</t>
  </si>
  <si>
    <t>377 - IFOOD BENEFICIOS E SERVICOS LTDA. Compra/Serviço Tomado conforme nota fiscal nº 1785632 do fornecedor IFOOD BENEFICIOS E SERVICOS LTDA.</t>
  </si>
  <si>
    <t>1919942</t>
  </si>
  <si>
    <t>377 - IFOOD BENEFICIOS E SERVICOS LTDA. Compra/Serviço Tomado conforme nota fiscal nº 1919942 do fornecedor IFOOD BENEFICIOS E SERVICOS LTDA.</t>
  </si>
  <si>
    <t>2264738</t>
  </si>
  <si>
    <t>377 - IFOOD BENEFICIOS E SERVICOS LTDA. Compra/Serviço Tomado conforme nota fiscal nº 2264738 do fornecedor IFOOD BENEFICIOS E SERVICOS LTDA.</t>
  </si>
  <si>
    <t>2321487</t>
  </si>
  <si>
    <t>377 - IFOOD BENEFICIOS E SERVICOS LTDA. Compra/Serviço Tomado conforme nota fiscal nº 2321487 do fornecedor IFOOD BENEFICIOS E SERVICOS LTDA.</t>
  </si>
  <si>
    <t>2330116</t>
  </si>
  <si>
    <t>377 - IFOOD BENEFICIOS E SERVICOS LTDA. Compra/Serviço Tomado conforme nota fiscal nº 2330116 do fornecedor IFOOD BENEFICIOS E SERVICOS LTDA.</t>
  </si>
  <si>
    <t>626 - Cartão de Crédito - Conta Simples Scale PAGAMENTO PADDLE NF FATURA PARC 006/007</t>
  </si>
  <si>
    <t>342 - Cartão de Crédito - Kamino PAGAMENTO PADDLE NF FATURA</t>
  </si>
  <si>
    <t>3691985</t>
  </si>
  <si>
    <t>375 - OMIEXPERIENCE LTDA. Compra/Serviço Tomado conforme nota fiscal nº 3691985 do fornecedor OMIEXPERIENCE LTDA.</t>
  </si>
  <si>
    <t>838 - ZEE FILMS PRODUCOES LTDA Compra/Serviço Tomado conforme nota fiscal nº 10 do fornecedor ZEE FILMS PRODUCOES LTDA</t>
  </si>
  <si>
    <t>860 - 54.308.327 ISABEL GOIS MARCELINO Compra/Serviço Tomado conforme nota fiscal nº 2 do fornecedor 54.308.327 ISABEL GOIS MARCELINO</t>
  </si>
  <si>
    <t>135063</t>
  </si>
  <si>
    <t>674 - RVT SERVICOS DE TELECOMUNICACOES LTDA Compra/Serviço Tomado conforme nota fiscal nº 135063 do fornecedor RVT SERVICOS DE TELECOMUNICACOES LTDA</t>
  </si>
  <si>
    <t>3701596</t>
  </si>
  <si>
    <t>375 - OMIEXPERIENCE LTDA. Compra/Serviço Tomado conforme nota fiscal nº 3701596 do fornecedor OMIEXPERIENCE LTDA.</t>
  </si>
  <si>
    <t>3776869</t>
  </si>
  <si>
    <t>375 - OMIEXPERIENCE LTDA. Compra/Serviço Tomado conforme nota fiscal nº 3776869 do fornecedor OMIEXPERIENCE LTDA.</t>
  </si>
  <si>
    <t>TOTAL (73 notas; diferença de 34 fornecedor-mês)</t>
  </si>
  <si>
    <t>Pedir a nota à Syhus — lançamentos sem número de NF</t>
  </si>
  <si>
    <t>Lançamentos sem nº de nota que também não aparecem no ERP quando procurados por fornecedor e valor. A Syhus manda a nota (ou o comprovante) de cada um; sem documento, o lançamento sai.</t>
  </si>
  <si>
    <t>NF recebida? (S/N)</t>
  </si>
  <si>
    <t>sem nº</t>
  </si>
  <si>
    <t>342 - Cartão de Crédito - Kamino DELAINE ILHA DA SILVA 02466060027 4.1.8.09.002 - Confraternização</t>
  </si>
  <si>
    <t>930 - Provisão de Fornecedores Compra/Serviço Tomado conforme nota fiscal nº  CLOUD HUMANS TECNOLOGIA LTDA.</t>
  </si>
  <si>
    <t>42 - Adiantamentos a Fornecedores Pagamento Juan Carlo  - 05/02/2025</t>
  </si>
  <si>
    <t>42 - Adiantamentos a Fornecedores Pagamento ref. Juan Carlo  - 12/05/2025</t>
  </si>
  <si>
    <t>42 - Adiantamentos a Fornecedores Serviços de Terceiros Reembols - Custos com Pessoal - 49.927.077 Juan Carlo Altmayer  - 19/06/2025</t>
  </si>
  <si>
    <t>42 - Adiantamentos a Fornecedores PADDLE.NET LEONARDOAI  - 31/05/2025</t>
  </si>
  <si>
    <t>353 - Cartão de Crédito - Banrisul PAGAMENTO DE CONTA A PAGAR - - 001/001 - STARLINK BRAZIL SERVICOS DE INTERNET LTDA.</t>
  </si>
  <si>
    <t>TOTAL (7 notas; diferença de 5 fornecedor-mês)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</si>
</sst>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-#,##0.00;&quot;-&quot;"/>
    <numFmt numFmtId="165" formatCode="0.00%;[Red]-0.00%"/>
  </numFmts>
  <fonts count="8" x14ac:knownFonts="1">
    <font>
      <color theme="1"/>
      <family val="2"/>
      <scheme val="minor"/>
      <sz val="11"/>
      <name val="Calibri"/>
    </font>
    <font>
      <b/>
      <color rgb="FF12395E"/>
      <sz val="15"/>
      <name val="Poppins"/>
    </font>
    <font>
      <i/>
      <color rgb="FF6B7A88"/>
      <sz val="10"/>
      <name val="Poppins"/>
    </font>
    <font>
      <b/>
      <color rgb="FFFFFFFF"/>
      <sz val="12"/>
      <name val="Poppins"/>
    </font>
    <font>
      <b/>
      <color rgb="FFFFFFFF"/>
      <sz val="10"/>
      <name val="Poppins"/>
    </font>
    <font>
      <color rgb="FF1F2933"/>
      <sz val="10"/>
      <name val="Poppins"/>
    </font>
    <font>
      <b/>
      <color rgb="FF1F2933"/>
      <sz val="10"/>
      <name val="Poppins"/>
    </font>
    <font>
      <b/>
      <color rgb="FF12395E"/>
      <sz val="11"/>
      <name val="Poppins"/>
    </font>
  </fonts>
  <fills count="10">
    <fill>
      <patternFill patternType="none"/>
    </fill>
    <fill>
      <patternFill patternType="gray125"/>
    </fill>
    <fill>
      <patternFill patternType="solid">
        <fgColor rgb="FF12395E"/>
      </patternFill>
    </fill>
    <fill>
      <patternFill patternType="solid">
        <fgColor rgb="FFEDE7F6"/>
      </patternFill>
    </fill>
    <fill>
      <patternFill patternType="solid">
        <fgColor rgb="FFFFF4CC"/>
      </patternFill>
    </fill>
    <fill>
      <patternFill patternType="solid">
        <fgColor rgb="FFE3EEF8"/>
      </patternFill>
    </fill>
    <fill>
      <patternFill patternType="solid">
        <fgColor rgb="FFEEF1F4"/>
      </patternFill>
    </fill>
    <fill>
      <patternFill patternType="solid">
        <fgColor rgb="FFE3F1E8"/>
      </patternFill>
    </fill>
    <fill>
      <patternFill patternType="solid">
        <fgColor rgb="FFF8DEDE"/>
      </patternFill>
    </fill>
    <fill>
      <patternFill patternType="solid">
        <fgColor rgb="FFFDE7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4E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4" fillId="2" borderId="0" xfId="0" applyFont="1" applyFill="1" applyAlignment="1">
      <alignment vertical="center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5" fontId="5" fillId="4" borderId="1" xfId="0" applyNumberFormat="1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164" fontId="6" fillId="5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5" fontId="5" fillId="5" borderId="1" xfId="0" applyNumberFormat="1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164" fontId="5" fillId="6" borderId="1" xfId="0" applyNumberFormat="1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164" fontId="6" fillId="7" borderId="1" xfId="0" applyNumberFormat="1" applyFont="1" applyFill="1" applyBorder="1" applyAlignment="1">
      <alignment vertical="top" wrapText="1"/>
    </xf>
    <xf numFmtId="165" fontId="6" fillId="7" borderId="1" xfId="0" applyNumberFormat="1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7" fillId="0" borderId="0" xfId="0" applyFont="1"/>
    <xf numFmtId="164" fontId="5" fillId="4" borderId="1" xfId="0" applyNumberFormat="1" applyFont="1" applyFill="1" applyBorder="1" applyAlignment="1">
      <alignment vertical="top" wrapText="1"/>
    </xf>
    <xf numFmtId="164" fontId="6" fillId="6" borderId="1" xfId="0" applyNumberFormat="1" applyFont="1" applyFill="1" applyBorder="1" applyAlignment="1">
      <alignment vertical="top" wrapText="1"/>
    </xf>
    <xf numFmtId="164" fontId="6" fillId="8" borderId="1" xfId="0" applyNumberFormat="1" applyFont="1" applyFill="1" applyBorder="1" applyAlignment="1">
      <alignment vertical="top" wrapText="1"/>
    </xf>
    <xf numFmtId="164" fontId="6" fillId="9" borderId="1" xfId="0" applyNumberFormat="1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9.xml"/><Relationship Id="rId6" Type="http://schemas.openxmlformats.org/officeDocument/2006/relationships/worksheet" Target="worksheets/sheet10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1.xml"/><Relationship Id="rId9" Type="http://schemas.openxmlformats.org/officeDocument/2006/relationships/worksheet" Target="worksheets/sheet2.xml"/><Relationship Id="rId10" Type="http://schemas.openxmlformats.org/officeDocument/2006/relationships/worksheet" Target="worksheets/sheet3.xml"/><Relationship Id="rId11" Type="http://schemas.openxmlformats.org/officeDocument/2006/relationships/worksheet" Target="worksheets/sheet4.xml"/><Relationship Id="rId12" Type="http://schemas.openxmlformats.org/officeDocument/2006/relationships/worksheet" Target="worksheets/sheet5.xml"/><Relationship Id="rId13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6" customWidth="1"/>
    <col min="4" max="4" width="15" customWidth="1"/>
    <col min="5" max="5" width="14" customWidth="1"/>
    <col min="6" max="6" width="15" customWidth="1"/>
    <col min="7" max="7" width="11" customWidth="1"/>
    <col min="8" max="8" width="70" customWidth="1"/>
  </cols>
  <sheetData>
    <row r="1" ht="26" customHeight="1" spans="1:8" x14ac:dyDescent="0.25">
      <c r="A1" s="1" t="s">
        <v>492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493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4" t="s">
        <v>360</v>
      </c>
      <c r="B4" s="4" t="s">
        <v>361</v>
      </c>
      <c r="C4" s="4" t="s">
        <v>34</v>
      </c>
      <c r="D4" s="4" t="s">
        <v>494</v>
      </c>
      <c r="E4" s="4" t="s">
        <v>495</v>
      </c>
      <c r="F4" s="4" t="s">
        <v>496</v>
      </c>
      <c r="G4" s="4" t="s">
        <v>497</v>
      </c>
      <c r="H4" s="4" t="s">
        <v>498</v>
      </c>
    </row>
    <row r="5" spans="1:8" x14ac:dyDescent="0.25">
      <c r="A5" s="24" t="s">
        <v>362</v>
      </c>
      <c r="B5" s="24" t="s">
        <v>363</v>
      </c>
      <c r="C5" s="24" t="s">
        <v>499</v>
      </c>
      <c r="D5" s="27">
        <f>SUM(D6:D36)</f>
        <v>647583.29</v>
      </c>
      <c r="E5" s="27">
        <f>SUM(E6:E36)</f>
        <v>-7963</v>
      </c>
      <c r="F5" s="27">
        <f>SUM(F6:F36)</f>
        <v>639620.29</v>
      </c>
      <c r="G5" s="24" t="s">
        <v>3</v>
      </c>
      <c r="H5" s="24" t="s">
        <v>3</v>
      </c>
    </row>
    <row r="6" spans="1:8" x14ac:dyDescent="0.25">
      <c r="A6" s="5" t="s">
        <v>3</v>
      </c>
      <c r="B6" s="5" t="s">
        <v>3</v>
      </c>
      <c r="C6" s="5" t="s">
        <v>48</v>
      </c>
      <c r="D6" s="6">
        <v>98591.7</v>
      </c>
      <c r="E6" s="28">
        <v>-49296</v>
      </c>
      <c r="F6" s="6">
        <f>D6+E6</f>
        <v>49295.7</v>
      </c>
      <c r="G6" s="22" t="s">
        <v>129</v>
      </c>
      <c r="H6" s="5" t="s">
        <v>3</v>
      </c>
    </row>
    <row r="7" spans="1:8" x14ac:dyDescent="0.25">
      <c r="A7" s="5" t="s">
        <v>3</v>
      </c>
      <c r="B7" s="5" t="s">
        <v>3</v>
      </c>
      <c r="C7" s="5" t="s">
        <v>72</v>
      </c>
      <c r="D7" s="6">
        <v>0</v>
      </c>
      <c r="E7" s="14">
        <v>33333.33</v>
      </c>
      <c r="F7" s="6">
        <f>D7+E7</f>
        <v>33333.33</v>
      </c>
      <c r="G7" s="15" t="s">
        <v>176</v>
      </c>
      <c r="H7" s="5" t="s">
        <v>3</v>
      </c>
    </row>
    <row r="8" spans="1:8" x14ac:dyDescent="0.25">
      <c r="A8" s="5" t="s">
        <v>3</v>
      </c>
      <c r="B8" s="5" t="s">
        <v>3</v>
      </c>
      <c r="C8" s="5" t="s">
        <v>53</v>
      </c>
      <c r="D8" s="6">
        <v>63333.67</v>
      </c>
      <c r="E8" s="28">
        <v>-31667</v>
      </c>
      <c r="F8" s="6">
        <f>D8+E8</f>
        <v>31666.67</v>
      </c>
      <c r="G8" s="22" t="s">
        <v>139</v>
      </c>
      <c r="H8" s="5" t="s">
        <v>500</v>
      </c>
    </row>
    <row r="9" spans="1:8" x14ac:dyDescent="0.25">
      <c r="A9" s="5" t="s">
        <v>3</v>
      </c>
      <c r="B9" s="5" t="s">
        <v>3</v>
      </c>
      <c r="C9" s="5" t="s">
        <v>77</v>
      </c>
      <c r="D9" s="6">
        <v>0</v>
      </c>
      <c r="E9" s="14">
        <v>22166.67</v>
      </c>
      <c r="F9" s="6">
        <f>D9+E9</f>
        <v>22166.67</v>
      </c>
      <c r="G9" s="15" t="s">
        <v>501</v>
      </c>
      <c r="H9" s="5" t="s">
        <v>3</v>
      </c>
    </row>
    <row r="10" spans="1:8" x14ac:dyDescent="0.25">
      <c r="A10" s="5" t="s">
        <v>3</v>
      </c>
      <c r="B10" s="5" t="s">
        <v>3</v>
      </c>
      <c r="C10" s="5" t="s">
        <v>79</v>
      </c>
      <c r="D10" s="6">
        <v>0</v>
      </c>
      <c r="E10" s="14">
        <v>17500</v>
      </c>
      <c r="F10" s="6">
        <f>D10+E10</f>
        <v>17500</v>
      </c>
      <c r="G10" s="15" t="s">
        <v>502</v>
      </c>
      <c r="H10" s="5" t="s">
        <v>3</v>
      </c>
    </row>
    <row r="11" spans="1:8" x14ac:dyDescent="0.25">
      <c r="A11" s="5" t="s">
        <v>3</v>
      </c>
      <c r="B11" s="5" t="s">
        <v>3</v>
      </c>
      <c r="C11" s="5" t="s">
        <v>503</v>
      </c>
      <c r="D11" s="6">
        <v>49350</v>
      </c>
      <c r="E11" s="6">
        <v>0</v>
      </c>
      <c r="F11" s="6">
        <f>D11+E11</f>
        <v>49350</v>
      </c>
      <c r="G11" s="5" t="s">
        <v>3</v>
      </c>
      <c r="H11" s="5" t="s">
        <v>3</v>
      </c>
    </row>
    <row r="12" spans="1:8" x14ac:dyDescent="0.25">
      <c r="A12" s="5" t="s">
        <v>3</v>
      </c>
      <c r="B12" s="5" t="s">
        <v>3</v>
      </c>
      <c r="C12" s="5" t="s">
        <v>136</v>
      </c>
      <c r="D12" s="6">
        <v>33250</v>
      </c>
      <c r="E12" s="6">
        <v>0</v>
      </c>
      <c r="F12" s="6">
        <f>D12+E12</f>
        <v>33250</v>
      </c>
      <c r="G12" s="5" t="s">
        <v>3</v>
      </c>
      <c r="H12" s="5" t="s">
        <v>3</v>
      </c>
    </row>
    <row r="13" spans="1:8" x14ac:dyDescent="0.25">
      <c r="A13" s="5" t="s">
        <v>3</v>
      </c>
      <c r="B13" s="5" t="s">
        <v>3</v>
      </c>
      <c r="C13" s="5" t="s">
        <v>140</v>
      </c>
      <c r="D13" s="6">
        <v>29851</v>
      </c>
      <c r="E13" s="6">
        <v>0</v>
      </c>
      <c r="F13" s="6">
        <f>D13+E13</f>
        <v>29851</v>
      </c>
      <c r="G13" s="5" t="s">
        <v>3</v>
      </c>
      <c r="H13" s="5" t="s">
        <v>3</v>
      </c>
    </row>
    <row r="14" spans="1:8" x14ac:dyDescent="0.25">
      <c r="A14" s="5" t="s">
        <v>3</v>
      </c>
      <c r="B14" s="5" t="s">
        <v>3</v>
      </c>
      <c r="C14" s="5" t="s">
        <v>504</v>
      </c>
      <c r="D14" s="6">
        <v>28500</v>
      </c>
      <c r="E14" s="6">
        <v>0</v>
      </c>
      <c r="F14" s="6">
        <f>D14+E14</f>
        <v>28500</v>
      </c>
      <c r="G14" s="5" t="s">
        <v>3</v>
      </c>
      <c r="H14" s="5" t="s">
        <v>505</v>
      </c>
    </row>
    <row r="15" spans="1:8" x14ac:dyDescent="0.25">
      <c r="A15" s="5" t="s">
        <v>3</v>
      </c>
      <c r="B15" s="5" t="s">
        <v>3</v>
      </c>
      <c r="C15" s="5" t="s">
        <v>506</v>
      </c>
      <c r="D15" s="6">
        <v>26916.67</v>
      </c>
      <c r="E15" s="6">
        <v>0</v>
      </c>
      <c r="F15" s="6">
        <f>D15+E15</f>
        <v>26916.67</v>
      </c>
      <c r="G15" s="5" t="s">
        <v>3</v>
      </c>
      <c r="H15" s="5" t="s">
        <v>507</v>
      </c>
    </row>
    <row r="16" spans="1:8" x14ac:dyDescent="0.25">
      <c r="A16" s="5" t="s">
        <v>3</v>
      </c>
      <c r="B16" s="5" t="s">
        <v>3</v>
      </c>
      <c r="C16" s="5" t="s">
        <v>508</v>
      </c>
      <c r="D16" s="6">
        <v>26809.13</v>
      </c>
      <c r="E16" s="6">
        <v>0</v>
      </c>
      <c r="F16" s="6">
        <f>D16+E16</f>
        <v>26809.13</v>
      </c>
      <c r="G16" s="5" t="s">
        <v>3</v>
      </c>
      <c r="H16" s="5" t="s">
        <v>509</v>
      </c>
    </row>
    <row r="17" spans="1:8" x14ac:dyDescent="0.25">
      <c r="A17" s="5" t="s">
        <v>3</v>
      </c>
      <c r="B17" s="5" t="s">
        <v>3</v>
      </c>
      <c r="C17" s="5" t="s">
        <v>510</v>
      </c>
      <c r="D17" s="6">
        <v>25333.33</v>
      </c>
      <c r="E17" s="6">
        <v>0</v>
      </c>
      <c r="F17" s="6">
        <f>D17+E17</f>
        <v>25333.33</v>
      </c>
      <c r="G17" s="5" t="s">
        <v>3</v>
      </c>
      <c r="H17" s="5" t="s">
        <v>511</v>
      </c>
    </row>
    <row r="18" spans="1:8" x14ac:dyDescent="0.25">
      <c r="A18" s="5" t="s">
        <v>3</v>
      </c>
      <c r="B18" s="5" t="s">
        <v>3</v>
      </c>
      <c r="C18" s="5" t="s">
        <v>512</v>
      </c>
      <c r="D18" s="6">
        <v>23592.03</v>
      </c>
      <c r="E18" s="6">
        <v>0</v>
      </c>
      <c r="F18" s="6">
        <f>D18+E18</f>
        <v>23592.03</v>
      </c>
      <c r="G18" s="5" t="s">
        <v>3</v>
      </c>
      <c r="H18" s="5" t="s">
        <v>513</v>
      </c>
    </row>
    <row r="19" spans="1:8" x14ac:dyDescent="0.25">
      <c r="A19" s="5" t="s">
        <v>3</v>
      </c>
      <c r="B19" s="5" t="s">
        <v>3</v>
      </c>
      <c r="C19" s="5" t="s">
        <v>514</v>
      </c>
      <c r="D19" s="6">
        <v>22500</v>
      </c>
      <c r="E19" s="6">
        <v>0</v>
      </c>
      <c r="F19" s="6">
        <f>D19+E19</f>
        <v>22500</v>
      </c>
      <c r="G19" s="5" t="s">
        <v>3</v>
      </c>
      <c r="H19" s="5" t="s">
        <v>515</v>
      </c>
    </row>
    <row r="20" spans="1:8" x14ac:dyDescent="0.25">
      <c r="A20" s="5" t="s">
        <v>3</v>
      </c>
      <c r="B20" s="5" t="s">
        <v>3</v>
      </c>
      <c r="C20" s="5" t="s">
        <v>516</v>
      </c>
      <c r="D20" s="6">
        <v>21000</v>
      </c>
      <c r="E20" s="6">
        <v>0</v>
      </c>
      <c r="F20" s="6">
        <f>D20+E20</f>
        <v>21000</v>
      </c>
      <c r="G20" s="5" t="s">
        <v>3</v>
      </c>
      <c r="H20" s="5" t="s">
        <v>517</v>
      </c>
    </row>
    <row r="21" spans="1:8" x14ac:dyDescent="0.25">
      <c r="A21" s="5" t="s">
        <v>3</v>
      </c>
      <c r="B21" s="5" t="s">
        <v>3</v>
      </c>
      <c r="C21" s="5" t="s">
        <v>518</v>
      </c>
      <c r="D21" s="6">
        <v>20000</v>
      </c>
      <c r="E21" s="6">
        <v>0</v>
      </c>
      <c r="F21" s="6">
        <f>D21+E21</f>
        <v>20000</v>
      </c>
      <c r="G21" s="5" t="s">
        <v>3</v>
      </c>
      <c r="H21" s="5" t="s">
        <v>3</v>
      </c>
    </row>
    <row r="22" spans="1:8" x14ac:dyDescent="0.25">
      <c r="A22" s="5" t="s">
        <v>3</v>
      </c>
      <c r="B22" s="5" t="s">
        <v>3</v>
      </c>
      <c r="C22" s="5" t="s">
        <v>519</v>
      </c>
      <c r="D22" s="6">
        <v>19724.48</v>
      </c>
      <c r="E22" s="6">
        <v>0</v>
      </c>
      <c r="F22" s="6">
        <f>D22+E22</f>
        <v>19724.48</v>
      </c>
      <c r="G22" s="5" t="s">
        <v>3</v>
      </c>
      <c r="H22" s="5" t="s">
        <v>3</v>
      </c>
    </row>
    <row r="23" spans="1:8" x14ac:dyDescent="0.25">
      <c r="A23" s="5" t="s">
        <v>3</v>
      </c>
      <c r="B23" s="5" t="s">
        <v>3</v>
      </c>
      <c r="C23" s="5" t="s">
        <v>138</v>
      </c>
      <c r="D23" s="6">
        <v>17500</v>
      </c>
      <c r="E23" s="6">
        <v>0</v>
      </c>
      <c r="F23" s="6">
        <f>D23+E23</f>
        <v>17500</v>
      </c>
      <c r="G23" s="5" t="s">
        <v>3</v>
      </c>
      <c r="H23" s="5" t="s">
        <v>3</v>
      </c>
    </row>
    <row r="24" spans="1:8" x14ac:dyDescent="0.25">
      <c r="A24" s="5" t="s">
        <v>3</v>
      </c>
      <c r="B24" s="5" t="s">
        <v>3</v>
      </c>
      <c r="C24" s="5" t="s">
        <v>520</v>
      </c>
      <c r="D24" s="6">
        <v>14106.2</v>
      </c>
      <c r="E24" s="6">
        <v>0</v>
      </c>
      <c r="F24" s="6">
        <f>D24+E24</f>
        <v>14106.2</v>
      </c>
      <c r="G24" s="5" t="s">
        <v>3</v>
      </c>
      <c r="H24" s="5" t="s">
        <v>521</v>
      </c>
    </row>
    <row r="25" spans="1:8" x14ac:dyDescent="0.25">
      <c r="A25" s="5" t="s">
        <v>3</v>
      </c>
      <c r="B25" s="5" t="s">
        <v>3</v>
      </c>
      <c r="C25" s="5" t="s">
        <v>522</v>
      </c>
      <c r="D25" s="6">
        <v>14106.2</v>
      </c>
      <c r="E25" s="6">
        <v>0</v>
      </c>
      <c r="F25" s="6">
        <f>D25+E25</f>
        <v>14106.2</v>
      </c>
      <c r="G25" s="5" t="s">
        <v>3</v>
      </c>
      <c r="H25" s="5" t="s">
        <v>521</v>
      </c>
    </row>
    <row r="26" spans="1:8" x14ac:dyDescent="0.25">
      <c r="A26" s="5" t="s">
        <v>3</v>
      </c>
      <c r="B26" s="5" t="s">
        <v>3</v>
      </c>
      <c r="C26" s="5" t="s">
        <v>523</v>
      </c>
      <c r="D26" s="6">
        <v>13750</v>
      </c>
      <c r="E26" s="6">
        <v>0</v>
      </c>
      <c r="F26" s="6">
        <f>D26+E26</f>
        <v>13750</v>
      </c>
      <c r="G26" s="5" t="s">
        <v>3</v>
      </c>
      <c r="H26" s="5" t="s">
        <v>524</v>
      </c>
    </row>
    <row r="27" spans="1:8" x14ac:dyDescent="0.25">
      <c r="A27" s="5" t="s">
        <v>3</v>
      </c>
      <c r="B27" s="5" t="s">
        <v>3</v>
      </c>
      <c r="C27" s="5" t="s">
        <v>525</v>
      </c>
      <c r="D27" s="6">
        <v>13064.52</v>
      </c>
      <c r="E27" s="6">
        <v>0</v>
      </c>
      <c r="F27" s="6">
        <f>D27+E27</f>
        <v>13064.52</v>
      </c>
      <c r="G27" s="5" t="s">
        <v>3</v>
      </c>
      <c r="H27" s="5" t="s">
        <v>3</v>
      </c>
    </row>
    <row r="28" spans="1:8" x14ac:dyDescent="0.25">
      <c r="A28" s="5" t="s">
        <v>3</v>
      </c>
      <c r="B28" s="5" t="s">
        <v>3</v>
      </c>
      <c r="C28" s="5" t="s">
        <v>526</v>
      </c>
      <c r="D28" s="6">
        <v>13000</v>
      </c>
      <c r="E28" s="6">
        <v>0</v>
      </c>
      <c r="F28" s="6">
        <f>D28+E28</f>
        <v>13000</v>
      </c>
      <c r="G28" s="5" t="s">
        <v>3</v>
      </c>
      <c r="H28" s="5" t="s">
        <v>3</v>
      </c>
    </row>
    <row r="29" spans="1:8" x14ac:dyDescent="0.25">
      <c r="A29" s="5" t="s">
        <v>3</v>
      </c>
      <c r="B29" s="5" t="s">
        <v>3</v>
      </c>
      <c r="C29" s="5" t="s">
        <v>527</v>
      </c>
      <c r="D29" s="6">
        <v>12500</v>
      </c>
      <c r="E29" s="6">
        <v>0</v>
      </c>
      <c r="F29" s="6">
        <f>D29+E29</f>
        <v>12500</v>
      </c>
      <c r="G29" s="5" t="s">
        <v>3</v>
      </c>
      <c r="H29" s="5" t="s">
        <v>3</v>
      </c>
    </row>
    <row r="30" spans="1:8" x14ac:dyDescent="0.25">
      <c r="A30" s="5" t="s">
        <v>3</v>
      </c>
      <c r="B30" s="5" t="s">
        <v>3</v>
      </c>
      <c r="C30" s="5" t="s">
        <v>528</v>
      </c>
      <c r="D30" s="6">
        <v>12000</v>
      </c>
      <c r="E30" s="6">
        <v>0</v>
      </c>
      <c r="F30" s="6">
        <f>D30+E30</f>
        <v>12000</v>
      </c>
      <c r="G30" s="5" t="s">
        <v>3</v>
      </c>
      <c r="H30" s="5" t="s">
        <v>529</v>
      </c>
    </row>
    <row r="31" spans="1:8" x14ac:dyDescent="0.25">
      <c r="A31" s="5" t="s">
        <v>3</v>
      </c>
      <c r="B31" s="5" t="s">
        <v>3</v>
      </c>
      <c r="C31" s="5" t="s">
        <v>530</v>
      </c>
      <c r="D31" s="6">
        <v>11666.67</v>
      </c>
      <c r="E31" s="6">
        <v>0</v>
      </c>
      <c r="F31" s="6">
        <f>D31+E31</f>
        <v>11666.67</v>
      </c>
      <c r="G31" s="5" t="s">
        <v>3</v>
      </c>
      <c r="H31" s="5" t="s">
        <v>531</v>
      </c>
    </row>
    <row r="32" spans="1:8" x14ac:dyDescent="0.25">
      <c r="A32" s="5" t="s">
        <v>3</v>
      </c>
      <c r="B32" s="5" t="s">
        <v>3</v>
      </c>
      <c r="C32" s="5" t="s">
        <v>532</v>
      </c>
      <c r="D32" s="6">
        <v>11333.33</v>
      </c>
      <c r="E32" s="6">
        <v>0</v>
      </c>
      <c r="F32" s="6">
        <f>D32+E32</f>
        <v>11333.33</v>
      </c>
      <c r="G32" s="5" t="s">
        <v>3</v>
      </c>
      <c r="H32" s="5" t="s">
        <v>533</v>
      </c>
    </row>
    <row r="33" spans="1:8" x14ac:dyDescent="0.25">
      <c r="A33" s="5" t="s">
        <v>3</v>
      </c>
      <c r="B33" s="5" t="s">
        <v>3</v>
      </c>
      <c r="C33" s="5" t="s">
        <v>534</v>
      </c>
      <c r="D33" s="6">
        <v>9000</v>
      </c>
      <c r="E33" s="6">
        <v>0</v>
      </c>
      <c r="F33" s="6">
        <f>D33+E33</f>
        <v>9000</v>
      </c>
      <c r="G33" s="5" t="s">
        <v>3</v>
      </c>
      <c r="H33" s="5" t="s">
        <v>3</v>
      </c>
    </row>
    <row r="34" spans="1:8" x14ac:dyDescent="0.25">
      <c r="A34" s="5" t="s">
        <v>3</v>
      </c>
      <c r="B34" s="5" t="s">
        <v>3</v>
      </c>
      <c r="C34" s="5" t="s">
        <v>535</v>
      </c>
      <c r="D34" s="6">
        <v>7721.03</v>
      </c>
      <c r="E34" s="6">
        <v>0</v>
      </c>
      <c r="F34" s="6">
        <f>D34+E34</f>
        <v>7721.03</v>
      </c>
      <c r="G34" s="5" t="s">
        <v>3</v>
      </c>
      <c r="H34" s="5" t="s">
        <v>536</v>
      </c>
    </row>
    <row r="35" spans="1:8" x14ac:dyDescent="0.25">
      <c r="A35" s="5" t="s">
        <v>3</v>
      </c>
      <c r="B35" s="5" t="s">
        <v>3</v>
      </c>
      <c r="C35" s="5" t="s">
        <v>537</v>
      </c>
      <c r="D35" s="6">
        <v>5333.33</v>
      </c>
      <c r="E35" s="6">
        <v>0</v>
      </c>
      <c r="F35" s="6">
        <f>D35+E35</f>
        <v>5333.33</v>
      </c>
      <c r="G35" s="5" t="s">
        <v>3</v>
      </c>
      <c r="H35" s="5" t="s">
        <v>538</v>
      </c>
    </row>
    <row r="36" spans="1:8" x14ac:dyDescent="0.25">
      <c r="A36" s="5" t="s">
        <v>3</v>
      </c>
      <c r="B36" s="5" t="s">
        <v>3</v>
      </c>
      <c r="C36" s="5" t="s">
        <v>539</v>
      </c>
      <c r="D36" s="6">
        <v>3750</v>
      </c>
      <c r="E36" s="6">
        <v>0</v>
      </c>
      <c r="F36" s="6">
        <f>D36+E36</f>
        <v>3750</v>
      </c>
      <c r="G36" s="5" t="s">
        <v>3</v>
      </c>
      <c r="H36" s="5" t="s">
        <v>540</v>
      </c>
    </row>
    <row r="37" spans="1:8" x14ac:dyDescent="0.25">
      <c r="A37" s="24" t="s">
        <v>364</v>
      </c>
      <c r="B37" s="24" t="s">
        <v>365</v>
      </c>
      <c r="C37" s="24" t="s">
        <v>499</v>
      </c>
      <c r="D37" s="27">
        <f>SUM(D38:D38)</f>
        <v>22660.18</v>
      </c>
      <c r="E37" s="27">
        <f>SUM(E38:E38)</f>
        <v>60195.75</v>
      </c>
      <c r="F37" s="27">
        <f>SUM(F38:F38)</f>
        <v>82855.93</v>
      </c>
      <c r="G37" s="24" t="s">
        <v>3</v>
      </c>
      <c r="H37" s="24" t="s">
        <v>3</v>
      </c>
    </row>
    <row r="38" spans="1:8" x14ac:dyDescent="0.25">
      <c r="A38" s="5" t="s">
        <v>3</v>
      </c>
      <c r="B38" s="5" t="s">
        <v>3</v>
      </c>
      <c r="C38" s="5" t="s">
        <v>103</v>
      </c>
      <c r="D38" s="6">
        <v>22660.18</v>
      </c>
      <c r="E38" s="10">
        <v>60195.75</v>
      </c>
      <c r="F38" s="6">
        <f>D38+E38</f>
        <v>82855.93</v>
      </c>
      <c r="G38" s="11" t="s">
        <v>86</v>
      </c>
      <c r="H38" s="5" t="s">
        <v>3</v>
      </c>
    </row>
    <row r="39" spans="1:8" x14ac:dyDescent="0.25">
      <c r="A39" s="24" t="s">
        <v>366</v>
      </c>
      <c r="B39" s="24" t="s">
        <v>367</v>
      </c>
      <c r="C39" s="24" t="s">
        <v>499</v>
      </c>
      <c r="D39" s="27">
        <f>SUM(D40:D44)</f>
        <v>123490.2</v>
      </c>
      <c r="E39" s="27">
        <f>SUM(E40:E44)</f>
        <v>98168.68</v>
      </c>
      <c r="F39" s="27">
        <f>SUM(F40:F44)</f>
        <v>221658.88</v>
      </c>
      <c r="G39" s="24" t="s">
        <v>3</v>
      </c>
      <c r="H39" s="24" t="s">
        <v>3</v>
      </c>
    </row>
    <row r="40" spans="1:8" x14ac:dyDescent="0.25">
      <c r="A40" s="5" t="s">
        <v>3</v>
      </c>
      <c r="B40" s="5" t="s">
        <v>3</v>
      </c>
      <c r="C40" s="5" t="s">
        <v>81</v>
      </c>
      <c r="D40" s="6">
        <v>107263.42</v>
      </c>
      <c r="E40" s="29">
        <v>95555.68</v>
      </c>
      <c r="F40" s="6">
        <f>D40+E40</f>
        <v>202819.1</v>
      </c>
      <c r="G40" s="23" t="s">
        <v>257</v>
      </c>
      <c r="H40" s="5" t="s">
        <v>541</v>
      </c>
    </row>
    <row r="41" spans="1:8" x14ac:dyDescent="0.25">
      <c r="A41" s="5" t="s">
        <v>3</v>
      </c>
      <c r="B41" s="5" t="s">
        <v>3</v>
      </c>
      <c r="C41" s="5" t="s">
        <v>101</v>
      </c>
      <c r="D41" s="6">
        <v>0</v>
      </c>
      <c r="E41" s="29">
        <v>2613</v>
      </c>
      <c r="F41" s="6">
        <f>D41+E41</f>
        <v>2613</v>
      </c>
      <c r="G41" s="23" t="s">
        <v>115</v>
      </c>
      <c r="H41" s="5" t="s">
        <v>3</v>
      </c>
    </row>
    <row r="42" spans="1:8" x14ac:dyDescent="0.25">
      <c r="A42" s="5" t="s">
        <v>3</v>
      </c>
      <c r="B42" s="5" t="s">
        <v>3</v>
      </c>
      <c r="C42" s="5" t="s">
        <v>302</v>
      </c>
      <c r="D42" s="6">
        <v>8933.75</v>
      </c>
      <c r="E42" s="6">
        <v>0</v>
      </c>
      <c r="F42" s="6">
        <f>D42+E42</f>
        <v>8933.75</v>
      </c>
      <c r="G42" s="5" t="s">
        <v>3</v>
      </c>
      <c r="H42" s="5" t="s">
        <v>3</v>
      </c>
    </row>
    <row r="43" spans="1:8" x14ac:dyDescent="0.25">
      <c r="A43" s="5" t="s">
        <v>3</v>
      </c>
      <c r="B43" s="5" t="s">
        <v>3</v>
      </c>
      <c r="C43" s="5" t="s">
        <v>542</v>
      </c>
      <c r="D43" s="6">
        <v>4286.73</v>
      </c>
      <c r="E43" s="6">
        <v>0</v>
      </c>
      <c r="F43" s="6">
        <f>D43+E43</f>
        <v>4286.73</v>
      </c>
      <c r="G43" s="5" t="s">
        <v>3</v>
      </c>
      <c r="H43" s="5" t="s">
        <v>3</v>
      </c>
    </row>
    <row r="44" spans="1:8" x14ac:dyDescent="0.25">
      <c r="A44" s="5" t="s">
        <v>3</v>
      </c>
      <c r="B44" s="5" t="s">
        <v>3</v>
      </c>
      <c r="C44" s="5" t="s">
        <v>543</v>
      </c>
      <c r="D44" s="6">
        <v>3006.3</v>
      </c>
      <c r="E44" s="6">
        <v>0</v>
      </c>
      <c r="F44" s="6">
        <f>D44+E44</f>
        <v>3006.3</v>
      </c>
      <c r="G44" s="5" t="s">
        <v>3</v>
      </c>
      <c r="H44" s="5" t="s">
        <v>3</v>
      </c>
    </row>
    <row r="45" spans="1:8" x14ac:dyDescent="0.25">
      <c r="A45" s="24" t="s">
        <v>368</v>
      </c>
      <c r="B45" s="24" t="s">
        <v>369</v>
      </c>
      <c r="C45" s="24" t="s">
        <v>499</v>
      </c>
      <c r="D45" s="27">
        <f>SUM(D46:D70)</f>
        <v>350882.47</v>
      </c>
      <c r="E45" s="27">
        <f>SUM(E46:E70)</f>
        <v>0</v>
      </c>
      <c r="F45" s="27">
        <f>SUM(F46:F70)</f>
        <v>350882.47</v>
      </c>
      <c r="G45" s="24" t="s">
        <v>3</v>
      </c>
      <c r="H45" s="24" t="s">
        <v>3</v>
      </c>
    </row>
    <row r="46" spans="1:8" x14ac:dyDescent="0.25">
      <c r="A46" s="5" t="s">
        <v>3</v>
      </c>
      <c r="B46" s="5" t="s">
        <v>3</v>
      </c>
      <c r="C46" s="5" t="s">
        <v>265</v>
      </c>
      <c r="D46" s="6">
        <v>138361.9</v>
      </c>
      <c r="E46" s="6">
        <v>0</v>
      </c>
      <c r="F46" s="6">
        <f>D46+E46</f>
        <v>138361.9</v>
      </c>
      <c r="G46" s="5" t="s">
        <v>3</v>
      </c>
      <c r="H46" s="5" t="s">
        <v>544</v>
      </c>
    </row>
    <row r="47" spans="1:8" x14ac:dyDescent="0.25">
      <c r="A47" s="5" t="s">
        <v>3</v>
      </c>
      <c r="B47" s="5" t="s">
        <v>3</v>
      </c>
      <c r="C47" s="5" t="s">
        <v>270</v>
      </c>
      <c r="D47" s="6">
        <v>84888.4</v>
      </c>
      <c r="E47" s="6">
        <v>0</v>
      </c>
      <c r="F47" s="6">
        <f>D47+E47</f>
        <v>84888.4</v>
      </c>
      <c r="G47" s="5" t="s">
        <v>3</v>
      </c>
      <c r="H47" s="5" t="s">
        <v>545</v>
      </c>
    </row>
    <row r="48" spans="1:8" x14ac:dyDescent="0.25">
      <c r="A48" s="5" t="s">
        <v>3</v>
      </c>
      <c r="B48" s="5" t="s">
        <v>3</v>
      </c>
      <c r="C48" s="5" t="s">
        <v>180</v>
      </c>
      <c r="D48" s="6">
        <v>39535.74</v>
      </c>
      <c r="E48" s="6">
        <v>0</v>
      </c>
      <c r="F48" s="6">
        <f>D48+E48</f>
        <v>39535.74</v>
      </c>
      <c r="G48" s="5" t="s">
        <v>3</v>
      </c>
      <c r="H48" s="5" t="s">
        <v>546</v>
      </c>
    </row>
    <row r="49" spans="1:8" x14ac:dyDescent="0.25">
      <c r="A49" s="5" t="s">
        <v>3</v>
      </c>
      <c r="B49" s="5" t="s">
        <v>3</v>
      </c>
      <c r="C49" s="5" t="s">
        <v>121</v>
      </c>
      <c r="D49" s="6">
        <v>28491</v>
      </c>
      <c r="E49" s="6">
        <v>0</v>
      </c>
      <c r="F49" s="6">
        <f>D49+E49</f>
        <v>28491</v>
      </c>
      <c r="G49" s="5" t="s">
        <v>3</v>
      </c>
      <c r="H49" s="5" t="s">
        <v>547</v>
      </c>
    </row>
    <row r="50" spans="1:8" x14ac:dyDescent="0.25">
      <c r="A50" s="5" t="s">
        <v>3</v>
      </c>
      <c r="B50" s="5" t="s">
        <v>3</v>
      </c>
      <c r="C50" s="5" t="s">
        <v>548</v>
      </c>
      <c r="D50" s="6">
        <v>20036.07</v>
      </c>
      <c r="E50" s="6">
        <v>0</v>
      </c>
      <c r="F50" s="6">
        <f>D50+E50</f>
        <v>20036.07</v>
      </c>
      <c r="G50" s="5" t="s">
        <v>3</v>
      </c>
      <c r="H50" s="5" t="s">
        <v>549</v>
      </c>
    </row>
    <row r="51" spans="1:8" x14ac:dyDescent="0.25">
      <c r="A51" s="5" t="s">
        <v>3</v>
      </c>
      <c r="B51" s="5" t="s">
        <v>3</v>
      </c>
      <c r="C51" s="5" t="s">
        <v>550</v>
      </c>
      <c r="D51" s="6">
        <v>10000</v>
      </c>
      <c r="E51" s="6">
        <v>0</v>
      </c>
      <c r="F51" s="6">
        <f>D51+E51</f>
        <v>10000</v>
      </c>
      <c r="G51" s="5" t="s">
        <v>3</v>
      </c>
      <c r="H51" s="5" t="s">
        <v>3</v>
      </c>
    </row>
    <row r="52" spans="1:8" x14ac:dyDescent="0.25">
      <c r="A52" s="5" t="s">
        <v>3</v>
      </c>
      <c r="B52" s="5" t="s">
        <v>3</v>
      </c>
      <c r="C52" s="5" t="s">
        <v>551</v>
      </c>
      <c r="D52" s="6">
        <v>6897.5</v>
      </c>
      <c r="E52" s="6">
        <v>0</v>
      </c>
      <c r="F52" s="6">
        <f>D52+E52</f>
        <v>6897.5</v>
      </c>
      <c r="G52" s="5" t="s">
        <v>3</v>
      </c>
      <c r="H52" s="5" t="s">
        <v>3</v>
      </c>
    </row>
    <row r="53" spans="1:8" x14ac:dyDescent="0.25">
      <c r="A53" s="5" t="s">
        <v>3</v>
      </c>
      <c r="B53" s="5" t="s">
        <v>3</v>
      </c>
      <c r="C53" s="5" t="s">
        <v>552</v>
      </c>
      <c r="D53" s="6">
        <v>6000</v>
      </c>
      <c r="E53" s="6">
        <v>0</v>
      </c>
      <c r="F53" s="6">
        <f>D53+E53</f>
        <v>6000</v>
      </c>
      <c r="G53" s="5" t="s">
        <v>3</v>
      </c>
      <c r="H53" s="5" t="s">
        <v>529</v>
      </c>
    </row>
    <row r="54" spans="1:8" x14ac:dyDescent="0.25">
      <c r="A54" s="5" t="s">
        <v>3</v>
      </c>
      <c r="B54" s="5" t="s">
        <v>3</v>
      </c>
      <c r="C54" s="5" t="s">
        <v>553</v>
      </c>
      <c r="D54" s="6">
        <v>4845.03</v>
      </c>
      <c r="E54" s="6">
        <v>0</v>
      </c>
      <c r="F54" s="6">
        <f>D54+E54</f>
        <v>4845.03</v>
      </c>
      <c r="G54" s="5" t="s">
        <v>3</v>
      </c>
      <c r="H54" s="5" t="s">
        <v>3</v>
      </c>
    </row>
    <row r="55" spans="1:8" x14ac:dyDescent="0.25">
      <c r="A55" s="5" t="s">
        <v>3</v>
      </c>
      <c r="B55" s="5" t="s">
        <v>3</v>
      </c>
      <c r="C55" s="5" t="s">
        <v>187</v>
      </c>
      <c r="D55" s="6">
        <v>2768.35</v>
      </c>
      <c r="E55" s="6">
        <v>0</v>
      </c>
      <c r="F55" s="6">
        <f>D55+E55</f>
        <v>2768.35</v>
      </c>
      <c r="G55" s="5" t="s">
        <v>3</v>
      </c>
      <c r="H55" s="5" t="s">
        <v>3</v>
      </c>
    </row>
    <row r="56" spans="1:8" x14ac:dyDescent="0.25">
      <c r="A56" s="5" t="s">
        <v>3</v>
      </c>
      <c r="B56" s="5" t="s">
        <v>3</v>
      </c>
      <c r="C56" s="5" t="s">
        <v>554</v>
      </c>
      <c r="D56" s="6">
        <v>1942.41</v>
      </c>
      <c r="E56" s="6">
        <v>0</v>
      </c>
      <c r="F56" s="6">
        <f>D56+E56</f>
        <v>1942.41</v>
      </c>
      <c r="G56" s="5" t="s">
        <v>3</v>
      </c>
      <c r="H56" s="5" t="s">
        <v>3</v>
      </c>
    </row>
    <row r="57" spans="1:8" x14ac:dyDescent="0.25">
      <c r="A57" s="5" t="s">
        <v>3</v>
      </c>
      <c r="B57" s="5" t="s">
        <v>3</v>
      </c>
      <c r="C57" s="5" t="s">
        <v>555</v>
      </c>
      <c r="D57" s="6">
        <v>1812.23</v>
      </c>
      <c r="E57" s="6">
        <v>0</v>
      </c>
      <c r="F57" s="6">
        <f>D57+E57</f>
        <v>1812.23</v>
      </c>
      <c r="G57" s="5" t="s">
        <v>3</v>
      </c>
      <c r="H57" s="5" t="s">
        <v>3</v>
      </c>
    </row>
    <row r="58" spans="1:8" x14ac:dyDescent="0.25">
      <c r="A58" s="5" t="s">
        <v>3</v>
      </c>
      <c r="B58" s="5" t="s">
        <v>3</v>
      </c>
      <c r="C58" s="5" t="s">
        <v>556</v>
      </c>
      <c r="D58" s="6">
        <v>1484.9</v>
      </c>
      <c r="E58" s="6">
        <v>0</v>
      </c>
      <c r="F58" s="6">
        <f>D58+E58</f>
        <v>1484.9</v>
      </c>
      <c r="G58" s="5" t="s">
        <v>3</v>
      </c>
      <c r="H58" s="5" t="s">
        <v>557</v>
      </c>
    </row>
    <row r="59" spans="1:8" x14ac:dyDescent="0.25">
      <c r="A59" s="5" t="s">
        <v>3</v>
      </c>
      <c r="B59" s="5" t="s">
        <v>3</v>
      </c>
      <c r="C59" s="5" t="s">
        <v>558</v>
      </c>
      <c r="D59" s="6">
        <v>1141</v>
      </c>
      <c r="E59" s="6">
        <v>0</v>
      </c>
      <c r="F59" s="6">
        <f>D59+E59</f>
        <v>1141</v>
      </c>
      <c r="G59" s="5" t="s">
        <v>3</v>
      </c>
      <c r="H59" s="5" t="s">
        <v>3</v>
      </c>
    </row>
    <row r="60" spans="1:8" x14ac:dyDescent="0.25">
      <c r="A60" s="5" t="s">
        <v>3</v>
      </c>
      <c r="B60" s="5" t="s">
        <v>3</v>
      </c>
      <c r="C60" s="5" t="s">
        <v>559</v>
      </c>
      <c r="D60" s="6">
        <v>720</v>
      </c>
      <c r="E60" s="6">
        <v>0</v>
      </c>
      <c r="F60" s="6">
        <f>D60+E60</f>
        <v>720</v>
      </c>
      <c r="G60" s="5" t="s">
        <v>3</v>
      </c>
      <c r="H60" s="5" t="s">
        <v>3</v>
      </c>
    </row>
    <row r="61" spans="1:8" x14ac:dyDescent="0.25">
      <c r="A61" s="5" t="s">
        <v>3</v>
      </c>
      <c r="B61" s="5" t="s">
        <v>3</v>
      </c>
      <c r="C61" s="5" t="s">
        <v>560</v>
      </c>
      <c r="D61" s="6">
        <v>617.69</v>
      </c>
      <c r="E61" s="6">
        <v>0</v>
      </c>
      <c r="F61" s="6">
        <f>D61+E61</f>
        <v>617.69</v>
      </c>
      <c r="G61" s="5" t="s">
        <v>3</v>
      </c>
      <c r="H61" s="5" t="s">
        <v>3</v>
      </c>
    </row>
    <row r="62" spans="1:8" x14ac:dyDescent="0.25">
      <c r="A62" s="5" t="s">
        <v>3</v>
      </c>
      <c r="B62" s="5" t="s">
        <v>3</v>
      </c>
      <c r="C62" s="5" t="s">
        <v>561</v>
      </c>
      <c r="D62" s="6">
        <v>476.1</v>
      </c>
      <c r="E62" s="6">
        <v>0</v>
      </c>
      <c r="F62" s="6">
        <f>D62+E62</f>
        <v>476.1</v>
      </c>
      <c r="G62" s="5" t="s">
        <v>3</v>
      </c>
      <c r="H62" s="5" t="s">
        <v>3</v>
      </c>
    </row>
    <row r="63" spans="1:8" x14ac:dyDescent="0.25">
      <c r="A63" s="5" t="s">
        <v>3</v>
      </c>
      <c r="B63" s="5" t="s">
        <v>3</v>
      </c>
      <c r="C63" s="5" t="s">
        <v>562</v>
      </c>
      <c r="D63" s="6">
        <v>158.97</v>
      </c>
      <c r="E63" s="6">
        <v>0</v>
      </c>
      <c r="F63" s="6">
        <f>D63+E63</f>
        <v>158.97</v>
      </c>
      <c r="G63" s="5" t="s">
        <v>3</v>
      </c>
      <c r="H63" s="5" t="s">
        <v>3</v>
      </c>
    </row>
    <row r="64" spans="1:8" x14ac:dyDescent="0.25">
      <c r="A64" s="5" t="s">
        <v>3</v>
      </c>
      <c r="B64" s="5" t="s">
        <v>3</v>
      </c>
      <c r="C64" s="5" t="s">
        <v>563</v>
      </c>
      <c r="D64" s="6">
        <v>142.34</v>
      </c>
      <c r="E64" s="6">
        <v>0</v>
      </c>
      <c r="F64" s="6">
        <f>D64+E64</f>
        <v>142.34</v>
      </c>
      <c r="G64" s="5" t="s">
        <v>3</v>
      </c>
      <c r="H64" s="5" t="s">
        <v>3</v>
      </c>
    </row>
    <row r="65" spans="1:8" x14ac:dyDescent="0.25">
      <c r="A65" s="5" t="s">
        <v>3</v>
      </c>
      <c r="B65" s="5" t="s">
        <v>3</v>
      </c>
      <c r="C65" s="5" t="s">
        <v>564</v>
      </c>
      <c r="D65" s="6">
        <v>139.99</v>
      </c>
      <c r="E65" s="6">
        <v>0</v>
      </c>
      <c r="F65" s="6">
        <f>D65+E65</f>
        <v>139.99</v>
      </c>
      <c r="G65" s="5" t="s">
        <v>3</v>
      </c>
      <c r="H65" s="5" t="s">
        <v>3</v>
      </c>
    </row>
    <row r="66" spans="1:8" x14ac:dyDescent="0.25">
      <c r="A66" s="5" t="s">
        <v>3</v>
      </c>
      <c r="B66" s="5" t="s">
        <v>3</v>
      </c>
      <c r="C66" s="5" t="s">
        <v>565</v>
      </c>
      <c r="D66" s="6">
        <v>138.42</v>
      </c>
      <c r="E66" s="6">
        <v>0</v>
      </c>
      <c r="F66" s="6">
        <f>D66+E66</f>
        <v>138.42</v>
      </c>
      <c r="G66" s="5" t="s">
        <v>3</v>
      </c>
      <c r="H66" s="5" t="s">
        <v>3</v>
      </c>
    </row>
    <row r="67" spans="1:8" x14ac:dyDescent="0.25">
      <c r="A67" s="5" t="s">
        <v>3</v>
      </c>
      <c r="B67" s="5" t="s">
        <v>3</v>
      </c>
      <c r="C67" s="5" t="s">
        <v>566</v>
      </c>
      <c r="D67" s="6">
        <v>125.4</v>
      </c>
      <c r="E67" s="6">
        <v>0</v>
      </c>
      <c r="F67" s="6">
        <f>D67+E67</f>
        <v>125.4</v>
      </c>
      <c r="G67" s="5" t="s">
        <v>3</v>
      </c>
      <c r="H67" s="5" t="s">
        <v>3</v>
      </c>
    </row>
    <row r="68" spans="1:8" x14ac:dyDescent="0.25">
      <c r="A68" s="5" t="s">
        <v>3</v>
      </c>
      <c r="B68" s="5" t="s">
        <v>3</v>
      </c>
      <c r="C68" s="5" t="s">
        <v>567</v>
      </c>
      <c r="D68" s="6">
        <v>89</v>
      </c>
      <c r="E68" s="6">
        <v>0</v>
      </c>
      <c r="F68" s="6">
        <f>D68+E68</f>
        <v>89</v>
      </c>
      <c r="G68" s="5" t="s">
        <v>3</v>
      </c>
      <c r="H68" s="5" t="s">
        <v>568</v>
      </c>
    </row>
    <row r="69" spans="1:8" x14ac:dyDescent="0.25">
      <c r="A69" s="5" t="s">
        <v>3</v>
      </c>
      <c r="B69" s="5" t="s">
        <v>3</v>
      </c>
      <c r="C69" s="5" t="s">
        <v>569</v>
      </c>
      <c r="D69" s="6">
        <v>41.03</v>
      </c>
      <c r="E69" s="6">
        <v>0</v>
      </c>
      <c r="F69" s="6">
        <f>D69+E69</f>
        <v>41.03</v>
      </c>
      <c r="G69" s="5" t="s">
        <v>3</v>
      </c>
      <c r="H69" s="5" t="s">
        <v>3</v>
      </c>
    </row>
    <row r="70" spans="1:8" x14ac:dyDescent="0.25">
      <c r="A70" s="5" t="s">
        <v>3</v>
      </c>
      <c r="B70" s="5" t="s">
        <v>3</v>
      </c>
      <c r="C70" s="5" t="s">
        <v>570</v>
      </c>
      <c r="D70" s="6">
        <v>29</v>
      </c>
      <c r="E70" s="6">
        <v>0</v>
      </c>
      <c r="F70" s="6">
        <f>D70+E70</f>
        <v>29</v>
      </c>
      <c r="G70" s="5" t="s">
        <v>3</v>
      </c>
      <c r="H70" s="5" t="s">
        <v>3</v>
      </c>
    </row>
    <row r="71" spans="1:8" x14ac:dyDescent="0.25">
      <c r="A71" s="24" t="s">
        <v>370</v>
      </c>
      <c r="B71" s="24" t="s">
        <v>371</v>
      </c>
      <c r="C71" s="24" t="s">
        <v>499</v>
      </c>
      <c r="D71" s="27">
        <f>SUM(D72:D79)</f>
        <v>333432.53</v>
      </c>
      <c r="E71" s="27">
        <f>SUM(E72:E79)</f>
        <v>0</v>
      </c>
      <c r="F71" s="27">
        <f>SUM(F72:F79)</f>
        <v>333432.53</v>
      </c>
      <c r="G71" s="24" t="s">
        <v>3</v>
      </c>
      <c r="H71" s="24" t="s">
        <v>3</v>
      </c>
    </row>
    <row r="72" spans="1:8" x14ac:dyDescent="0.25">
      <c r="A72" s="5" t="s">
        <v>3</v>
      </c>
      <c r="B72" s="5" t="s">
        <v>3</v>
      </c>
      <c r="C72" s="5" t="s">
        <v>265</v>
      </c>
      <c r="D72" s="6">
        <v>143199</v>
      </c>
      <c r="E72" s="6">
        <v>0</v>
      </c>
      <c r="F72" s="6">
        <f>D72+E72</f>
        <v>143199</v>
      </c>
      <c r="G72" s="5" t="s">
        <v>3</v>
      </c>
      <c r="H72" s="5" t="s">
        <v>3</v>
      </c>
    </row>
    <row r="73" spans="1:8" x14ac:dyDescent="0.25">
      <c r="A73" s="5" t="s">
        <v>3</v>
      </c>
      <c r="B73" s="5" t="s">
        <v>3</v>
      </c>
      <c r="C73" s="5" t="s">
        <v>270</v>
      </c>
      <c r="D73" s="6">
        <v>79732</v>
      </c>
      <c r="E73" s="6">
        <v>0</v>
      </c>
      <c r="F73" s="6">
        <f>D73+E73</f>
        <v>79732</v>
      </c>
      <c r="G73" s="5" t="s">
        <v>3</v>
      </c>
      <c r="H73" s="5" t="s">
        <v>3</v>
      </c>
    </row>
    <row r="74" spans="1:8" x14ac:dyDescent="0.25">
      <c r="A74" s="5" t="s">
        <v>3</v>
      </c>
      <c r="B74" s="5" t="s">
        <v>3</v>
      </c>
      <c r="C74" s="5" t="s">
        <v>180</v>
      </c>
      <c r="D74" s="6">
        <v>42825</v>
      </c>
      <c r="E74" s="6">
        <v>0</v>
      </c>
      <c r="F74" s="6">
        <f>D74+E74</f>
        <v>42825</v>
      </c>
      <c r="G74" s="5" t="s">
        <v>3</v>
      </c>
      <c r="H74" s="5" t="s">
        <v>3</v>
      </c>
    </row>
    <row r="75" spans="1:8" x14ac:dyDescent="0.25">
      <c r="A75" s="5" t="s">
        <v>3</v>
      </c>
      <c r="B75" s="5" t="s">
        <v>3</v>
      </c>
      <c r="C75" s="5" t="s">
        <v>121</v>
      </c>
      <c r="D75" s="6">
        <v>35199</v>
      </c>
      <c r="E75" s="6">
        <v>0</v>
      </c>
      <c r="F75" s="6">
        <f>D75+E75</f>
        <v>35199</v>
      </c>
      <c r="G75" s="5" t="s">
        <v>3</v>
      </c>
      <c r="H75" s="5" t="s">
        <v>3</v>
      </c>
    </row>
    <row r="76" spans="1:8" x14ac:dyDescent="0.25">
      <c r="A76" s="5" t="s">
        <v>3</v>
      </c>
      <c r="B76" s="5" t="s">
        <v>3</v>
      </c>
      <c r="C76" s="5" t="s">
        <v>131</v>
      </c>
      <c r="D76" s="6">
        <v>20369</v>
      </c>
      <c r="E76" s="6">
        <v>0</v>
      </c>
      <c r="F76" s="6">
        <f>D76+E76</f>
        <v>20369</v>
      </c>
      <c r="G76" s="5" t="s">
        <v>3</v>
      </c>
      <c r="H76" s="5" t="s">
        <v>3</v>
      </c>
    </row>
    <row r="77" spans="1:8" x14ac:dyDescent="0.25">
      <c r="A77" s="5" t="s">
        <v>3</v>
      </c>
      <c r="B77" s="5" t="s">
        <v>3</v>
      </c>
      <c r="C77" s="5" t="s">
        <v>571</v>
      </c>
      <c r="D77" s="6">
        <v>6228.43</v>
      </c>
      <c r="E77" s="6">
        <v>0</v>
      </c>
      <c r="F77" s="6">
        <f>D77+E77</f>
        <v>6228.43</v>
      </c>
      <c r="G77" s="5" t="s">
        <v>3</v>
      </c>
      <c r="H77" s="5" t="s">
        <v>3</v>
      </c>
    </row>
    <row r="78" spans="1:8" x14ac:dyDescent="0.25">
      <c r="A78" s="5" t="s">
        <v>3</v>
      </c>
      <c r="B78" s="5" t="s">
        <v>3</v>
      </c>
      <c r="C78" s="5" t="s">
        <v>306</v>
      </c>
      <c r="D78" s="6">
        <v>2976.42</v>
      </c>
      <c r="E78" s="6">
        <v>0</v>
      </c>
      <c r="F78" s="6">
        <f>D78+E78</f>
        <v>2976.42</v>
      </c>
      <c r="G78" s="5" t="s">
        <v>3</v>
      </c>
      <c r="H78" s="5" t="s">
        <v>3</v>
      </c>
    </row>
    <row r="79" spans="1:8" x14ac:dyDescent="0.25">
      <c r="A79" s="5" t="s">
        <v>3</v>
      </c>
      <c r="B79" s="5" t="s">
        <v>3</v>
      </c>
      <c r="C79" s="5" t="s">
        <v>572</v>
      </c>
      <c r="D79" s="6">
        <v>2903.68</v>
      </c>
      <c r="E79" s="6">
        <v>0</v>
      </c>
      <c r="F79" s="6">
        <f>D79+E79</f>
        <v>2903.68</v>
      </c>
      <c r="G79" s="5" t="s">
        <v>3</v>
      </c>
      <c r="H79" s="5" t="s">
        <v>3</v>
      </c>
    </row>
    <row r="80" spans="1:8" x14ac:dyDescent="0.25">
      <c r="A80" s="24" t="s">
        <v>372</v>
      </c>
      <c r="B80" s="24" t="s">
        <v>373</v>
      </c>
      <c r="C80" s="24" t="s">
        <v>499</v>
      </c>
      <c r="D80" s="27">
        <f>SUM(D81:D82)</f>
        <v>5575.24</v>
      </c>
      <c r="E80" s="27">
        <f>SUM(E81:E82)</f>
        <v>0</v>
      </c>
      <c r="F80" s="27">
        <f>SUM(F81:F82)</f>
        <v>5575.24</v>
      </c>
      <c r="G80" s="24" t="s">
        <v>3</v>
      </c>
      <c r="H80" s="24" t="s">
        <v>3</v>
      </c>
    </row>
    <row r="81" spans="1:8" x14ac:dyDescent="0.25">
      <c r="A81" s="5" t="s">
        <v>3</v>
      </c>
      <c r="B81" s="5" t="s">
        <v>3</v>
      </c>
      <c r="C81" s="5" t="s">
        <v>573</v>
      </c>
      <c r="D81" s="6">
        <v>5500</v>
      </c>
      <c r="E81" s="6">
        <v>0</v>
      </c>
      <c r="F81" s="6">
        <f>D81+E81</f>
        <v>5500</v>
      </c>
      <c r="G81" s="5" t="s">
        <v>3</v>
      </c>
      <c r="H81" s="5" t="s">
        <v>574</v>
      </c>
    </row>
    <row r="82" spans="1:8" x14ac:dyDescent="0.25">
      <c r="A82" s="5" t="s">
        <v>3</v>
      </c>
      <c r="B82" s="5" t="s">
        <v>3</v>
      </c>
      <c r="C82" s="5" t="s">
        <v>575</v>
      </c>
      <c r="D82" s="6">
        <v>75.24</v>
      </c>
      <c r="E82" s="6">
        <v>0</v>
      </c>
      <c r="F82" s="6">
        <f>D82+E82</f>
        <v>75.24</v>
      </c>
      <c r="G82" s="5" t="s">
        <v>3</v>
      </c>
      <c r="H82" s="5" t="s">
        <v>576</v>
      </c>
    </row>
    <row r="83" spans="1:8" x14ac:dyDescent="0.25">
      <c r="A83" s="24" t="s">
        <v>374</v>
      </c>
      <c r="B83" s="24" t="s">
        <v>375</v>
      </c>
      <c r="C83" s="24" t="s">
        <v>499</v>
      </c>
      <c r="D83" s="27">
        <f>SUM(D84:D84)</f>
        <v>1300</v>
      </c>
      <c r="E83" s="27">
        <f>SUM(E84:E84)</f>
        <v>0</v>
      </c>
      <c r="F83" s="27">
        <f>SUM(F84:F84)</f>
        <v>1300</v>
      </c>
      <c r="G83" s="24" t="s">
        <v>3</v>
      </c>
      <c r="H83" s="24" t="s">
        <v>3</v>
      </c>
    </row>
    <row r="84" spans="1:8" x14ac:dyDescent="0.25">
      <c r="A84" s="5" t="s">
        <v>3</v>
      </c>
      <c r="B84" s="5" t="s">
        <v>3</v>
      </c>
      <c r="C84" s="5" t="s">
        <v>577</v>
      </c>
      <c r="D84" s="6">
        <v>1300</v>
      </c>
      <c r="E84" s="6">
        <v>0</v>
      </c>
      <c r="F84" s="6">
        <f>D84+E84</f>
        <v>1300</v>
      </c>
      <c r="G84" s="5" t="s">
        <v>3</v>
      </c>
      <c r="H84" s="5" t="s">
        <v>3</v>
      </c>
    </row>
    <row r="85" spans="1:8" x14ac:dyDescent="0.25">
      <c r="A85" s="24" t="s">
        <v>376</v>
      </c>
      <c r="B85" s="24" t="s">
        <v>377</v>
      </c>
      <c r="C85" s="24" t="s">
        <v>499</v>
      </c>
      <c r="D85" s="27">
        <f>SUM(D86:D86)</f>
        <v>125</v>
      </c>
      <c r="E85" s="27">
        <f>SUM(E86:E86)</f>
        <v>0</v>
      </c>
      <c r="F85" s="27">
        <f>SUM(F86:F86)</f>
        <v>125</v>
      </c>
      <c r="G85" s="24" t="s">
        <v>3</v>
      </c>
      <c r="H85" s="24" t="s">
        <v>3</v>
      </c>
    </row>
    <row r="86" spans="1:8" x14ac:dyDescent="0.25">
      <c r="A86" s="5" t="s">
        <v>3</v>
      </c>
      <c r="B86" s="5" t="s">
        <v>3</v>
      </c>
      <c r="C86" s="5" t="s">
        <v>578</v>
      </c>
      <c r="D86" s="6">
        <v>125</v>
      </c>
      <c r="E86" s="6">
        <v>0</v>
      </c>
      <c r="F86" s="6">
        <f>D86+E86</f>
        <v>125</v>
      </c>
      <c r="G86" s="5" t="s">
        <v>3</v>
      </c>
      <c r="H86" s="5" t="s">
        <v>3</v>
      </c>
    </row>
    <row r="87" spans="1:8" x14ac:dyDescent="0.25">
      <c r="A87" s="24" t="s">
        <v>378</v>
      </c>
      <c r="B87" s="24" t="s">
        <v>379</v>
      </c>
      <c r="C87" s="24" t="s">
        <v>499</v>
      </c>
      <c r="D87" s="27">
        <f>SUM(D88:D93)</f>
        <v>2897.76</v>
      </c>
      <c r="E87" s="27">
        <f>SUM(E88:E93)</f>
        <v>0</v>
      </c>
      <c r="F87" s="27">
        <f>SUM(F88:F93)</f>
        <v>2897.76</v>
      </c>
      <c r="G87" s="24" t="s">
        <v>3</v>
      </c>
      <c r="H87" s="24" t="s">
        <v>3</v>
      </c>
    </row>
    <row r="88" spans="1:8" x14ac:dyDescent="0.25">
      <c r="A88" s="5" t="s">
        <v>3</v>
      </c>
      <c r="B88" s="5" t="s">
        <v>3</v>
      </c>
      <c r="C88" s="5" t="s">
        <v>579</v>
      </c>
      <c r="D88" s="6">
        <v>1099</v>
      </c>
      <c r="E88" s="6">
        <v>0</v>
      </c>
      <c r="F88" s="6">
        <f>D88+E88</f>
        <v>1099</v>
      </c>
      <c r="G88" s="5" t="s">
        <v>3</v>
      </c>
      <c r="H88" s="5" t="s">
        <v>3</v>
      </c>
    </row>
    <row r="89" spans="1:8" x14ac:dyDescent="0.25">
      <c r="A89" s="5" t="s">
        <v>3</v>
      </c>
      <c r="B89" s="5" t="s">
        <v>3</v>
      </c>
      <c r="C89" s="5" t="s">
        <v>580</v>
      </c>
      <c r="D89" s="6">
        <v>995</v>
      </c>
      <c r="E89" s="6">
        <v>0</v>
      </c>
      <c r="F89" s="6">
        <f>D89+E89</f>
        <v>995</v>
      </c>
      <c r="G89" s="5" t="s">
        <v>3</v>
      </c>
      <c r="H89" s="5" t="s">
        <v>3</v>
      </c>
    </row>
    <row r="90" spans="1:8" x14ac:dyDescent="0.25">
      <c r="A90" s="5" t="s">
        <v>3</v>
      </c>
      <c r="B90" s="5" t="s">
        <v>3</v>
      </c>
      <c r="C90" s="5" t="s">
        <v>581</v>
      </c>
      <c r="D90" s="6">
        <v>379.24</v>
      </c>
      <c r="E90" s="6">
        <v>0</v>
      </c>
      <c r="F90" s="6">
        <f>D90+E90</f>
        <v>379.24</v>
      </c>
      <c r="G90" s="5" t="s">
        <v>3</v>
      </c>
      <c r="H90" s="5" t="s">
        <v>3</v>
      </c>
    </row>
    <row r="91" spans="1:8" x14ac:dyDescent="0.25">
      <c r="A91" s="5" t="s">
        <v>3</v>
      </c>
      <c r="B91" s="5" t="s">
        <v>3</v>
      </c>
      <c r="C91" s="5" t="s">
        <v>582</v>
      </c>
      <c r="D91" s="6">
        <v>235.52</v>
      </c>
      <c r="E91" s="6">
        <v>0</v>
      </c>
      <c r="F91" s="6">
        <f>D91+E91</f>
        <v>235.52</v>
      </c>
      <c r="G91" s="5" t="s">
        <v>3</v>
      </c>
      <c r="H91" s="5" t="s">
        <v>3</v>
      </c>
    </row>
    <row r="92" spans="1:8" x14ac:dyDescent="0.25">
      <c r="A92" s="5" t="s">
        <v>3</v>
      </c>
      <c r="B92" s="5" t="s">
        <v>3</v>
      </c>
      <c r="C92" s="5" t="s">
        <v>583</v>
      </c>
      <c r="D92" s="6">
        <v>169</v>
      </c>
      <c r="E92" s="6">
        <v>0</v>
      </c>
      <c r="F92" s="6">
        <f>D92+E92</f>
        <v>169</v>
      </c>
      <c r="G92" s="5" t="s">
        <v>3</v>
      </c>
      <c r="H92" s="5" t="s">
        <v>3</v>
      </c>
    </row>
    <row r="93" spans="1:8" x14ac:dyDescent="0.25">
      <c r="A93" s="5" t="s">
        <v>3</v>
      </c>
      <c r="B93" s="5" t="s">
        <v>3</v>
      </c>
      <c r="C93" s="5" t="s">
        <v>584</v>
      </c>
      <c r="D93" s="6">
        <v>20</v>
      </c>
      <c r="E93" s="6">
        <v>0</v>
      </c>
      <c r="F93" s="6">
        <f>D93+E93</f>
        <v>20</v>
      </c>
      <c r="G93" s="5" t="s">
        <v>3</v>
      </c>
      <c r="H93" s="5" t="s">
        <v>3</v>
      </c>
    </row>
    <row r="94" spans="1:8" x14ac:dyDescent="0.25">
      <c r="A94" s="24" t="s">
        <v>382</v>
      </c>
      <c r="B94" s="24" t="s">
        <v>383</v>
      </c>
      <c r="C94" s="24" t="s">
        <v>499</v>
      </c>
      <c r="D94" s="27">
        <f>SUM(D95:D126)</f>
        <v>211153.86</v>
      </c>
      <c r="E94" s="27">
        <f>SUM(E95:E126)</f>
        <v>38961.8</v>
      </c>
      <c r="F94" s="27">
        <f>SUM(F95:F126)</f>
        <v>250115.66</v>
      </c>
      <c r="G94" s="24" t="s">
        <v>3</v>
      </c>
      <c r="H94" s="24" t="s">
        <v>3</v>
      </c>
    </row>
    <row r="95" spans="1:8" x14ac:dyDescent="0.25">
      <c r="A95" s="5" t="s">
        <v>3</v>
      </c>
      <c r="B95" s="5" t="s">
        <v>3</v>
      </c>
      <c r="C95" s="5" t="s">
        <v>92</v>
      </c>
      <c r="D95" s="6">
        <v>200.18</v>
      </c>
      <c r="E95" s="29">
        <v>19757.12</v>
      </c>
      <c r="F95" s="6">
        <f>D95+E95</f>
        <v>19957.3</v>
      </c>
      <c r="G95" s="23" t="s">
        <v>585</v>
      </c>
      <c r="H95" s="5" t="s">
        <v>3</v>
      </c>
    </row>
    <row r="96" spans="1:8" x14ac:dyDescent="0.25">
      <c r="A96" s="5" t="s">
        <v>3</v>
      </c>
      <c r="B96" s="5" t="s">
        <v>3</v>
      </c>
      <c r="C96" s="5" t="s">
        <v>95</v>
      </c>
      <c r="D96" s="6">
        <v>0</v>
      </c>
      <c r="E96" s="29">
        <v>13066.49</v>
      </c>
      <c r="F96" s="6">
        <f>D96+E96</f>
        <v>13066.49</v>
      </c>
      <c r="G96" s="23" t="s">
        <v>586</v>
      </c>
      <c r="H96" s="5" t="s">
        <v>3</v>
      </c>
    </row>
    <row r="97" spans="1:8" x14ac:dyDescent="0.25">
      <c r="A97" s="5" t="s">
        <v>3</v>
      </c>
      <c r="B97" s="5" t="s">
        <v>3</v>
      </c>
      <c r="C97" s="5" t="s">
        <v>97</v>
      </c>
      <c r="D97" s="6">
        <v>0</v>
      </c>
      <c r="E97" s="29">
        <v>3314</v>
      </c>
      <c r="F97" s="6">
        <f>D97+E97</f>
        <v>3314</v>
      </c>
      <c r="G97" s="23" t="s">
        <v>587</v>
      </c>
      <c r="H97" s="5" t="s">
        <v>3</v>
      </c>
    </row>
    <row r="98" spans="1:8" x14ac:dyDescent="0.25">
      <c r="A98" s="5" t="s">
        <v>3</v>
      </c>
      <c r="B98" s="5" t="s">
        <v>3</v>
      </c>
      <c r="C98" s="5" t="s">
        <v>99</v>
      </c>
      <c r="D98" s="6">
        <v>3209.81</v>
      </c>
      <c r="E98" s="29">
        <v>2824.19</v>
      </c>
      <c r="F98" s="6">
        <f>D98+E98</f>
        <v>6034</v>
      </c>
      <c r="G98" s="23" t="s">
        <v>588</v>
      </c>
      <c r="H98" s="5" t="s">
        <v>3</v>
      </c>
    </row>
    <row r="99" spans="1:8" x14ac:dyDescent="0.25">
      <c r="A99" s="5" t="s">
        <v>3</v>
      </c>
      <c r="B99" s="5" t="s">
        <v>3</v>
      </c>
      <c r="C99" s="5" t="s">
        <v>589</v>
      </c>
      <c r="D99" s="6">
        <v>64323.22</v>
      </c>
      <c r="E99" s="6">
        <v>0</v>
      </c>
      <c r="F99" s="6">
        <f>D99+E99</f>
        <v>64323.22</v>
      </c>
      <c r="G99" s="5" t="s">
        <v>3</v>
      </c>
      <c r="H99" s="5" t="s">
        <v>3</v>
      </c>
    </row>
    <row r="100" spans="1:8" x14ac:dyDescent="0.25">
      <c r="A100" s="5" t="s">
        <v>3</v>
      </c>
      <c r="B100" s="5" t="s">
        <v>3</v>
      </c>
      <c r="C100" s="5" t="s">
        <v>215</v>
      </c>
      <c r="D100" s="6">
        <v>39421</v>
      </c>
      <c r="E100" s="6">
        <v>0</v>
      </c>
      <c r="F100" s="6">
        <f>D100+E100</f>
        <v>39421</v>
      </c>
      <c r="G100" s="5" t="s">
        <v>3</v>
      </c>
      <c r="H100" s="5" t="s">
        <v>3</v>
      </c>
    </row>
    <row r="101" spans="1:8" x14ac:dyDescent="0.25">
      <c r="A101" s="5" t="s">
        <v>3</v>
      </c>
      <c r="B101" s="5" t="s">
        <v>3</v>
      </c>
      <c r="C101" s="5" t="s">
        <v>590</v>
      </c>
      <c r="D101" s="6">
        <v>25781.45</v>
      </c>
      <c r="E101" s="6">
        <v>0</v>
      </c>
      <c r="F101" s="6">
        <f>D101+E101</f>
        <v>25781.45</v>
      </c>
      <c r="G101" s="5" t="s">
        <v>3</v>
      </c>
      <c r="H101" s="5" t="s">
        <v>3</v>
      </c>
    </row>
    <row r="102" spans="1:8" x14ac:dyDescent="0.25">
      <c r="A102" s="5" t="s">
        <v>3</v>
      </c>
      <c r="B102" s="5" t="s">
        <v>3</v>
      </c>
      <c r="C102" s="5" t="s">
        <v>591</v>
      </c>
      <c r="D102" s="6">
        <v>20000</v>
      </c>
      <c r="E102" s="6">
        <v>0</v>
      </c>
      <c r="F102" s="6">
        <f>D102+E102</f>
        <v>20000</v>
      </c>
      <c r="G102" s="5" t="s">
        <v>3</v>
      </c>
      <c r="H102" s="5" t="s">
        <v>3</v>
      </c>
    </row>
    <row r="103" spans="1:8" x14ac:dyDescent="0.25">
      <c r="A103" s="5" t="s">
        <v>3</v>
      </c>
      <c r="B103" s="5" t="s">
        <v>3</v>
      </c>
      <c r="C103" s="5" t="s">
        <v>211</v>
      </c>
      <c r="D103" s="6">
        <v>15827.53</v>
      </c>
      <c r="E103" s="6">
        <v>0</v>
      </c>
      <c r="F103" s="6">
        <f>D103+E103</f>
        <v>15827.53</v>
      </c>
      <c r="G103" s="5" t="s">
        <v>3</v>
      </c>
      <c r="H103" s="5" t="s">
        <v>592</v>
      </c>
    </row>
    <row r="104" spans="1:8" x14ac:dyDescent="0.25">
      <c r="A104" s="5" t="s">
        <v>3</v>
      </c>
      <c r="B104" s="5" t="s">
        <v>3</v>
      </c>
      <c r="C104" s="5" t="s">
        <v>593</v>
      </c>
      <c r="D104" s="6">
        <v>6979.52</v>
      </c>
      <c r="E104" s="6">
        <v>0</v>
      </c>
      <c r="F104" s="6">
        <f>D104+E104</f>
        <v>6979.52</v>
      </c>
      <c r="G104" s="5" t="s">
        <v>3</v>
      </c>
      <c r="H104" s="5" t="s">
        <v>3</v>
      </c>
    </row>
    <row r="105" spans="1:8" x14ac:dyDescent="0.25">
      <c r="A105" s="5" t="s">
        <v>3</v>
      </c>
      <c r="B105" s="5" t="s">
        <v>3</v>
      </c>
      <c r="C105" s="5" t="s">
        <v>162</v>
      </c>
      <c r="D105" s="6">
        <v>5400</v>
      </c>
      <c r="E105" s="6">
        <v>0</v>
      </c>
      <c r="F105" s="6">
        <f>D105+E105</f>
        <v>5400</v>
      </c>
      <c r="G105" s="5" t="s">
        <v>3</v>
      </c>
      <c r="H105" s="5" t="s">
        <v>3</v>
      </c>
    </row>
    <row r="106" spans="1:8" x14ac:dyDescent="0.25">
      <c r="A106" s="5" t="s">
        <v>3</v>
      </c>
      <c r="B106" s="5" t="s">
        <v>3</v>
      </c>
      <c r="C106" s="5" t="s">
        <v>594</v>
      </c>
      <c r="D106" s="6">
        <v>5258.05</v>
      </c>
      <c r="E106" s="6">
        <v>0</v>
      </c>
      <c r="F106" s="6">
        <f>D106+E106</f>
        <v>5258.05</v>
      </c>
      <c r="G106" s="5" t="s">
        <v>3</v>
      </c>
      <c r="H106" s="5" t="s">
        <v>3</v>
      </c>
    </row>
    <row r="107" spans="1:8" x14ac:dyDescent="0.25">
      <c r="A107" s="5" t="s">
        <v>3</v>
      </c>
      <c r="B107" s="5" t="s">
        <v>3</v>
      </c>
      <c r="C107" s="5" t="s">
        <v>595</v>
      </c>
      <c r="D107" s="6">
        <v>5130.97</v>
      </c>
      <c r="E107" s="6">
        <v>0</v>
      </c>
      <c r="F107" s="6">
        <f>D107+E107</f>
        <v>5130.97</v>
      </c>
      <c r="G107" s="5" t="s">
        <v>3</v>
      </c>
      <c r="H107" s="5" t="s">
        <v>596</v>
      </c>
    </row>
    <row r="108" spans="1:8" x14ac:dyDescent="0.25">
      <c r="A108" s="5" t="s">
        <v>3</v>
      </c>
      <c r="B108" s="5" t="s">
        <v>3</v>
      </c>
      <c r="C108" s="5" t="s">
        <v>149</v>
      </c>
      <c r="D108" s="6">
        <v>5000</v>
      </c>
      <c r="E108" s="6">
        <v>0</v>
      </c>
      <c r="F108" s="6">
        <f>D108+E108</f>
        <v>5000</v>
      </c>
      <c r="G108" s="5" t="s">
        <v>3</v>
      </c>
      <c r="H108" s="5" t="s">
        <v>3</v>
      </c>
    </row>
    <row r="109" spans="1:8" x14ac:dyDescent="0.25">
      <c r="A109" s="5" t="s">
        <v>3</v>
      </c>
      <c r="B109" s="5" t="s">
        <v>3</v>
      </c>
      <c r="C109" s="5" t="s">
        <v>597</v>
      </c>
      <c r="D109" s="6">
        <v>3989.88</v>
      </c>
      <c r="E109" s="6">
        <v>0</v>
      </c>
      <c r="F109" s="6">
        <f>D109+E109</f>
        <v>3989.88</v>
      </c>
      <c r="G109" s="5" t="s">
        <v>3</v>
      </c>
      <c r="H109" s="5" t="s">
        <v>3</v>
      </c>
    </row>
    <row r="110" spans="1:8" x14ac:dyDescent="0.25">
      <c r="A110" s="5" t="s">
        <v>3</v>
      </c>
      <c r="B110" s="5" t="s">
        <v>3</v>
      </c>
      <c r="C110" s="5" t="s">
        <v>190</v>
      </c>
      <c r="D110" s="6">
        <v>2358.86</v>
      </c>
      <c r="E110" s="6">
        <v>0</v>
      </c>
      <c r="F110" s="6">
        <f>D110+E110</f>
        <v>2358.86</v>
      </c>
      <c r="G110" s="5" t="s">
        <v>3</v>
      </c>
      <c r="H110" s="5" t="s">
        <v>3</v>
      </c>
    </row>
    <row r="111" spans="1:8" x14ac:dyDescent="0.25">
      <c r="A111" s="5" t="s">
        <v>3</v>
      </c>
      <c r="B111" s="5" t="s">
        <v>3</v>
      </c>
      <c r="C111" s="5" t="s">
        <v>562</v>
      </c>
      <c r="D111" s="6">
        <v>1660.68</v>
      </c>
      <c r="E111" s="6">
        <v>0</v>
      </c>
      <c r="F111" s="6">
        <f>D111+E111</f>
        <v>1660.68</v>
      </c>
      <c r="G111" s="5" t="s">
        <v>3</v>
      </c>
      <c r="H111" s="5" t="s">
        <v>3</v>
      </c>
    </row>
    <row r="112" spans="1:8" x14ac:dyDescent="0.25">
      <c r="A112" s="5" t="s">
        <v>3</v>
      </c>
      <c r="B112" s="5" t="s">
        <v>3</v>
      </c>
      <c r="C112" s="5" t="s">
        <v>598</v>
      </c>
      <c r="D112" s="6">
        <v>1633.48</v>
      </c>
      <c r="E112" s="6">
        <v>0</v>
      </c>
      <c r="F112" s="6">
        <f>D112+E112</f>
        <v>1633.48</v>
      </c>
      <c r="G112" s="5" t="s">
        <v>3</v>
      </c>
      <c r="H112" s="5" t="s">
        <v>599</v>
      </c>
    </row>
    <row r="113" spans="1:8" x14ac:dyDescent="0.25">
      <c r="A113" s="5" t="s">
        <v>3</v>
      </c>
      <c r="B113" s="5" t="s">
        <v>3</v>
      </c>
      <c r="C113" s="5" t="s">
        <v>600</v>
      </c>
      <c r="D113" s="6">
        <v>1366.44</v>
      </c>
      <c r="E113" s="6">
        <v>0</v>
      </c>
      <c r="F113" s="6">
        <f>D113+E113</f>
        <v>1366.44</v>
      </c>
      <c r="G113" s="5" t="s">
        <v>3</v>
      </c>
      <c r="H113" s="5" t="s">
        <v>3</v>
      </c>
    </row>
    <row r="114" spans="1:8" x14ac:dyDescent="0.25">
      <c r="A114" s="5" t="s">
        <v>3</v>
      </c>
      <c r="B114" s="5" t="s">
        <v>3</v>
      </c>
      <c r="C114" s="5" t="s">
        <v>601</v>
      </c>
      <c r="D114" s="6">
        <v>1304</v>
      </c>
      <c r="E114" s="6">
        <v>0</v>
      </c>
      <c r="F114" s="6">
        <f>D114+E114</f>
        <v>1304</v>
      </c>
      <c r="G114" s="5" t="s">
        <v>3</v>
      </c>
      <c r="H114" s="5" t="s">
        <v>3</v>
      </c>
    </row>
    <row r="115" spans="1:8" x14ac:dyDescent="0.25">
      <c r="A115" s="5" t="s">
        <v>3</v>
      </c>
      <c r="B115" s="5" t="s">
        <v>3</v>
      </c>
      <c r="C115" s="5" t="s">
        <v>602</v>
      </c>
      <c r="D115" s="6">
        <v>960</v>
      </c>
      <c r="E115" s="6">
        <v>0</v>
      </c>
      <c r="F115" s="6">
        <f>D115+E115</f>
        <v>960</v>
      </c>
      <c r="G115" s="5" t="s">
        <v>3</v>
      </c>
      <c r="H115" s="5" t="s">
        <v>3</v>
      </c>
    </row>
    <row r="116" spans="1:8" x14ac:dyDescent="0.25">
      <c r="A116" s="5" t="s">
        <v>3</v>
      </c>
      <c r="B116" s="5" t="s">
        <v>3</v>
      </c>
      <c r="C116" s="5" t="s">
        <v>603</v>
      </c>
      <c r="D116" s="6">
        <v>228.58</v>
      </c>
      <c r="E116" s="6">
        <v>0</v>
      </c>
      <c r="F116" s="6">
        <f>D116+E116</f>
        <v>228.58</v>
      </c>
      <c r="G116" s="5" t="s">
        <v>3</v>
      </c>
      <c r="H116" s="5" t="s">
        <v>3</v>
      </c>
    </row>
    <row r="117" spans="1:8" x14ac:dyDescent="0.25">
      <c r="A117" s="5" t="s">
        <v>3</v>
      </c>
      <c r="B117" s="5" t="s">
        <v>3</v>
      </c>
      <c r="C117" s="5" t="s">
        <v>554</v>
      </c>
      <c r="D117" s="6">
        <v>222.86</v>
      </c>
      <c r="E117" s="6">
        <v>0</v>
      </c>
      <c r="F117" s="6">
        <f>D117+E117</f>
        <v>222.86</v>
      </c>
      <c r="G117" s="5" t="s">
        <v>3</v>
      </c>
      <c r="H117" s="5" t="s">
        <v>3</v>
      </c>
    </row>
    <row r="118" spans="1:8" x14ac:dyDescent="0.25">
      <c r="A118" s="5" t="s">
        <v>3</v>
      </c>
      <c r="B118" s="5" t="s">
        <v>3</v>
      </c>
      <c r="C118" s="5" t="s">
        <v>604</v>
      </c>
      <c r="D118" s="6">
        <v>191.84</v>
      </c>
      <c r="E118" s="6">
        <v>0</v>
      </c>
      <c r="F118" s="6">
        <f>D118+E118</f>
        <v>191.84</v>
      </c>
      <c r="G118" s="5" t="s">
        <v>3</v>
      </c>
      <c r="H118" s="5" t="s">
        <v>3</v>
      </c>
    </row>
    <row r="119" spans="1:8" x14ac:dyDescent="0.25">
      <c r="A119" s="5" t="s">
        <v>3</v>
      </c>
      <c r="B119" s="5" t="s">
        <v>3</v>
      </c>
      <c r="C119" s="5" t="s">
        <v>605</v>
      </c>
      <c r="D119" s="6">
        <v>136.64</v>
      </c>
      <c r="E119" s="6">
        <v>0</v>
      </c>
      <c r="F119" s="6">
        <f>D119+E119</f>
        <v>136.64</v>
      </c>
      <c r="G119" s="5" t="s">
        <v>3</v>
      </c>
      <c r="H119" s="5" t="s">
        <v>3</v>
      </c>
    </row>
    <row r="120" spans="1:8" x14ac:dyDescent="0.25">
      <c r="A120" s="5" t="s">
        <v>3</v>
      </c>
      <c r="B120" s="5" t="s">
        <v>3</v>
      </c>
      <c r="C120" s="5" t="s">
        <v>606</v>
      </c>
      <c r="D120" s="6">
        <v>118.99</v>
      </c>
      <c r="E120" s="6">
        <v>0</v>
      </c>
      <c r="F120" s="6">
        <f>D120+E120</f>
        <v>118.99</v>
      </c>
      <c r="G120" s="5" t="s">
        <v>3</v>
      </c>
      <c r="H120" s="5" t="s">
        <v>607</v>
      </c>
    </row>
    <row r="121" spans="1:8" x14ac:dyDescent="0.25">
      <c r="A121" s="5" t="s">
        <v>3</v>
      </c>
      <c r="B121" s="5" t="s">
        <v>3</v>
      </c>
      <c r="C121" s="5" t="s">
        <v>608</v>
      </c>
      <c r="D121" s="6">
        <v>112.26</v>
      </c>
      <c r="E121" s="6">
        <v>0</v>
      </c>
      <c r="F121" s="6">
        <f>D121+E121</f>
        <v>112.26</v>
      </c>
      <c r="G121" s="5" t="s">
        <v>3</v>
      </c>
      <c r="H121" s="5" t="s">
        <v>3</v>
      </c>
    </row>
    <row r="122" spans="1:8" x14ac:dyDescent="0.25">
      <c r="A122" s="5" t="s">
        <v>3</v>
      </c>
      <c r="B122" s="5" t="s">
        <v>3</v>
      </c>
      <c r="C122" s="5" t="s">
        <v>609</v>
      </c>
      <c r="D122" s="6">
        <v>112.26</v>
      </c>
      <c r="E122" s="6">
        <v>0</v>
      </c>
      <c r="F122" s="6">
        <f>D122+E122</f>
        <v>112.26</v>
      </c>
      <c r="G122" s="5" t="s">
        <v>3</v>
      </c>
      <c r="H122" s="5" t="s">
        <v>3</v>
      </c>
    </row>
    <row r="123" spans="1:8" x14ac:dyDescent="0.25">
      <c r="A123" s="5" t="s">
        <v>3</v>
      </c>
      <c r="B123" s="5" t="s">
        <v>3</v>
      </c>
      <c r="C123" s="5" t="s">
        <v>610</v>
      </c>
      <c r="D123" s="6">
        <v>98.05</v>
      </c>
      <c r="E123" s="6">
        <v>0</v>
      </c>
      <c r="F123" s="6">
        <f>D123+E123</f>
        <v>98.05</v>
      </c>
      <c r="G123" s="5" t="s">
        <v>3</v>
      </c>
      <c r="H123" s="5" t="s">
        <v>3</v>
      </c>
    </row>
    <row r="124" spans="1:8" x14ac:dyDescent="0.25">
      <c r="A124" s="5" t="s">
        <v>3</v>
      </c>
      <c r="B124" s="5" t="s">
        <v>3</v>
      </c>
      <c r="C124" s="5" t="s">
        <v>611</v>
      </c>
      <c r="D124" s="6">
        <v>60.84</v>
      </c>
      <c r="E124" s="6">
        <v>0</v>
      </c>
      <c r="F124" s="6">
        <f>D124+E124</f>
        <v>60.84</v>
      </c>
      <c r="G124" s="5" t="s">
        <v>3</v>
      </c>
      <c r="H124" s="5" t="s">
        <v>3</v>
      </c>
    </row>
    <row r="125" spans="1:8" x14ac:dyDescent="0.25">
      <c r="A125" s="5" t="s">
        <v>3</v>
      </c>
      <c r="B125" s="5" t="s">
        <v>3</v>
      </c>
      <c r="C125" s="5" t="s">
        <v>612</v>
      </c>
      <c r="D125" s="6">
        <v>37.49</v>
      </c>
      <c r="E125" s="6">
        <v>0</v>
      </c>
      <c r="F125" s="6">
        <f>D125+E125</f>
        <v>37.49</v>
      </c>
      <c r="G125" s="5" t="s">
        <v>3</v>
      </c>
      <c r="H125" s="5" t="s">
        <v>3</v>
      </c>
    </row>
    <row r="126" spans="1:8" x14ac:dyDescent="0.25">
      <c r="A126" s="5" t="s">
        <v>3</v>
      </c>
      <c r="B126" s="5" t="s">
        <v>3</v>
      </c>
      <c r="C126" s="5" t="s">
        <v>613</v>
      </c>
      <c r="D126" s="6">
        <v>28.98</v>
      </c>
      <c r="E126" s="6">
        <v>0</v>
      </c>
      <c r="F126" s="6">
        <f>D126+E126</f>
        <v>28.98</v>
      </c>
      <c r="G126" s="5" t="s">
        <v>3</v>
      </c>
      <c r="H126" s="5" t="s">
        <v>3</v>
      </c>
    </row>
    <row r="127" spans="1:8" x14ac:dyDescent="0.25">
      <c r="A127" s="24" t="s">
        <v>384</v>
      </c>
      <c r="B127" s="24" t="s">
        <v>385</v>
      </c>
      <c r="C127" s="24" t="s">
        <v>499</v>
      </c>
      <c r="D127" s="27">
        <f>SUM(D128:D130)</f>
        <v>14835.11</v>
      </c>
      <c r="E127" s="27">
        <f>SUM(E128:E130)</f>
        <v>0</v>
      </c>
      <c r="F127" s="27">
        <f>SUM(F128:F130)</f>
        <v>14835.11</v>
      </c>
      <c r="G127" s="24" t="s">
        <v>3</v>
      </c>
      <c r="H127" s="24" t="s">
        <v>3</v>
      </c>
    </row>
    <row r="128" spans="1:8" x14ac:dyDescent="0.25">
      <c r="A128" s="5" t="s">
        <v>3</v>
      </c>
      <c r="B128" s="5" t="s">
        <v>3</v>
      </c>
      <c r="C128" s="5" t="s">
        <v>614</v>
      </c>
      <c r="D128" s="6">
        <v>8500</v>
      </c>
      <c r="E128" s="6">
        <v>0</v>
      </c>
      <c r="F128" s="6">
        <f>D128+E128</f>
        <v>8500</v>
      </c>
      <c r="G128" s="5" t="s">
        <v>3</v>
      </c>
      <c r="H128" s="5" t="s">
        <v>3</v>
      </c>
    </row>
    <row r="129" spans="1:8" x14ac:dyDescent="0.25">
      <c r="A129" s="5" t="s">
        <v>3</v>
      </c>
      <c r="B129" s="5" t="s">
        <v>3</v>
      </c>
      <c r="C129" s="5" t="s">
        <v>615</v>
      </c>
      <c r="D129" s="6">
        <v>4335.11</v>
      </c>
      <c r="E129" s="6">
        <v>0</v>
      </c>
      <c r="F129" s="6">
        <f>D129+E129</f>
        <v>4335.11</v>
      </c>
      <c r="G129" s="5" t="s">
        <v>3</v>
      </c>
      <c r="H129" s="5" t="s">
        <v>616</v>
      </c>
    </row>
    <row r="130" spans="1:8" x14ac:dyDescent="0.25">
      <c r="A130" s="5" t="s">
        <v>3</v>
      </c>
      <c r="B130" s="5" t="s">
        <v>3</v>
      </c>
      <c r="C130" s="5" t="s">
        <v>617</v>
      </c>
      <c r="D130" s="6">
        <v>2000</v>
      </c>
      <c r="E130" s="6">
        <v>0</v>
      </c>
      <c r="F130" s="6">
        <f>D130+E130</f>
        <v>2000</v>
      </c>
      <c r="G130" s="5" t="s">
        <v>3</v>
      </c>
      <c r="H130" s="5" t="s">
        <v>3</v>
      </c>
    </row>
    <row r="131" spans="1:8" x14ac:dyDescent="0.25">
      <c r="A131" s="24" t="s">
        <v>386</v>
      </c>
      <c r="B131" s="24" t="s">
        <v>387</v>
      </c>
      <c r="C131" s="24" t="s">
        <v>499</v>
      </c>
      <c r="D131" s="27">
        <f>SUM(D132:D133)</f>
        <v>2983.71</v>
      </c>
      <c r="E131" s="27">
        <f>SUM(E132:E133)</f>
        <v>0</v>
      </c>
      <c r="F131" s="27">
        <f>SUM(F132:F133)</f>
        <v>2983.71</v>
      </c>
      <c r="G131" s="24" t="s">
        <v>3</v>
      </c>
      <c r="H131" s="24" t="s">
        <v>3</v>
      </c>
    </row>
    <row r="132" spans="1:8" x14ac:dyDescent="0.25">
      <c r="A132" s="5" t="s">
        <v>3</v>
      </c>
      <c r="B132" s="5" t="s">
        <v>3</v>
      </c>
      <c r="C132" s="5" t="s">
        <v>618</v>
      </c>
      <c r="D132" s="6">
        <v>2028.52</v>
      </c>
      <c r="E132" s="6">
        <v>0</v>
      </c>
      <c r="F132" s="6">
        <f>D132+E132</f>
        <v>2028.52</v>
      </c>
      <c r="G132" s="5" t="s">
        <v>3</v>
      </c>
      <c r="H132" s="5" t="s">
        <v>3</v>
      </c>
    </row>
    <row r="133" spans="1:8" x14ac:dyDescent="0.25">
      <c r="A133" s="5" t="s">
        <v>3</v>
      </c>
      <c r="B133" s="5" t="s">
        <v>3</v>
      </c>
      <c r="C133" s="5" t="s">
        <v>619</v>
      </c>
      <c r="D133" s="6">
        <v>955.19</v>
      </c>
      <c r="E133" s="6">
        <v>0</v>
      </c>
      <c r="F133" s="6">
        <f>D133+E133</f>
        <v>955.19</v>
      </c>
      <c r="G133" s="5" t="s">
        <v>3</v>
      </c>
      <c r="H133" s="5" t="s">
        <v>3</v>
      </c>
    </row>
    <row r="134" spans="1:8" x14ac:dyDescent="0.25">
      <c r="A134" s="24" t="s">
        <v>390</v>
      </c>
      <c r="B134" s="24" t="s">
        <v>391</v>
      </c>
      <c r="C134" s="24" t="s">
        <v>499</v>
      </c>
      <c r="D134" s="27">
        <f>SUM(D135:D135)</f>
        <v>569</v>
      </c>
      <c r="E134" s="27">
        <f>SUM(E135:E135)</f>
        <v>0</v>
      </c>
      <c r="F134" s="27">
        <f>SUM(F135:F135)</f>
        <v>569</v>
      </c>
      <c r="G134" s="24" t="s">
        <v>3</v>
      </c>
      <c r="H134" s="24" t="s">
        <v>3</v>
      </c>
    </row>
    <row r="135" spans="1:8" x14ac:dyDescent="0.25">
      <c r="A135" s="5" t="s">
        <v>3</v>
      </c>
      <c r="B135" s="5" t="s">
        <v>3</v>
      </c>
      <c r="C135" s="5" t="s">
        <v>620</v>
      </c>
      <c r="D135" s="6">
        <v>569</v>
      </c>
      <c r="E135" s="6">
        <v>0</v>
      </c>
      <c r="F135" s="6">
        <f>D135+E135</f>
        <v>569</v>
      </c>
      <c r="G135" s="5" t="s">
        <v>3</v>
      </c>
      <c r="H135" s="5" t="s">
        <v>3</v>
      </c>
    </row>
    <row r="136" spans="1:8" x14ac:dyDescent="0.25">
      <c r="A136" s="24" t="s">
        <v>392</v>
      </c>
      <c r="B136" s="24" t="s">
        <v>393</v>
      </c>
      <c r="C136" s="24" t="s">
        <v>499</v>
      </c>
      <c r="D136" s="27">
        <f>SUM(D137:D142)</f>
        <v>34210.65</v>
      </c>
      <c r="E136" s="27">
        <f>SUM(E137:E142)</f>
        <v>0</v>
      </c>
      <c r="F136" s="27">
        <f>SUM(F137:F142)</f>
        <v>34210.65</v>
      </c>
      <c r="G136" s="24" t="s">
        <v>3</v>
      </c>
      <c r="H136" s="24" t="s">
        <v>3</v>
      </c>
    </row>
    <row r="137" spans="1:8" x14ac:dyDescent="0.25">
      <c r="A137" s="5" t="s">
        <v>3</v>
      </c>
      <c r="B137" s="5" t="s">
        <v>3</v>
      </c>
      <c r="C137" s="5" t="s">
        <v>621</v>
      </c>
      <c r="D137" s="6">
        <v>19663.24</v>
      </c>
      <c r="E137" s="6">
        <v>0</v>
      </c>
      <c r="F137" s="6">
        <f>D137+E137</f>
        <v>19663.24</v>
      </c>
      <c r="G137" s="5" t="s">
        <v>3</v>
      </c>
      <c r="H137" s="5" t="s">
        <v>3</v>
      </c>
    </row>
    <row r="138" spans="1:8" x14ac:dyDescent="0.25">
      <c r="A138" s="5" t="s">
        <v>3</v>
      </c>
      <c r="B138" s="5" t="s">
        <v>3</v>
      </c>
      <c r="C138" s="5" t="s">
        <v>622</v>
      </c>
      <c r="D138" s="6">
        <v>6477.5</v>
      </c>
      <c r="E138" s="6">
        <v>0</v>
      </c>
      <c r="F138" s="6">
        <f>D138+E138</f>
        <v>6477.5</v>
      </c>
      <c r="G138" s="5" t="s">
        <v>3</v>
      </c>
      <c r="H138" s="5" t="s">
        <v>3</v>
      </c>
    </row>
    <row r="139" spans="1:8" x14ac:dyDescent="0.25">
      <c r="A139" s="5" t="s">
        <v>3</v>
      </c>
      <c r="B139" s="5" t="s">
        <v>3</v>
      </c>
      <c r="C139" s="5" t="s">
        <v>623</v>
      </c>
      <c r="D139" s="6">
        <v>5463.05</v>
      </c>
      <c r="E139" s="6">
        <v>0</v>
      </c>
      <c r="F139" s="6">
        <f>D139+E139</f>
        <v>5463.05</v>
      </c>
      <c r="G139" s="5" t="s">
        <v>3</v>
      </c>
      <c r="H139" s="5" t="s">
        <v>3</v>
      </c>
    </row>
    <row r="140" spans="1:8" x14ac:dyDescent="0.25">
      <c r="A140" s="5" t="s">
        <v>3</v>
      </c>
      <c r="B140" s="5" t="s">
        <v>3</v>
      </c>
      <c r="C140" s="5" t="s">
        <v>151</v>
      </c>
      <c r="D140" s="6">
        <v>1795.72</v>
      </c>
      <c r="E140" s="6">
        <v>0</v>
      </c>
      <c r="F140" s="6">
        <f>D140+E140</f>
        <v>1795.72</v>
      </c>
      <c r="G140" s="5" t="s">
        <v>3</v>
      </c>
      <c r="H140" s="5" t="s">
        <v>3</v>
      </c>
    </row>
    <row r="141" spans="1:8" x14ac:dyDescent="0.25">
      <c r="A141" s="5" t="s">
        <v>3</v>
      </c>
      <c r="B141" s="5" t="s">
        <v>3</v>
      </c>
      <c r="C141" s="5" t="s">
        <v>624</v>
      </c>
      <c r="D141" s="6">
        <v>692.19</v>
      </c>
      <c r="E141" s="6">
        <v>0</v>
      </c>
      <c r="F141" s="6">
        <f>D141+E141</f>
        <v>692.19</v>
      </c>
      <c r="G141" s="5" t="s">
        <v>3</v>
      </c>
      <c r="H141" s="5" t="s">
        <v>3</v>
      </c>
    </row>
    <row r="142" spans="1:8" x14ac:dyDescent="0.25">
      <c r="A142" s="5" t="s">
        <v>3</v>
      </c>
      <c r="B142" s="5" t="s">
        <v>3</v>
      </c>
      <c r="C142" s="5" t="s">
        <v>625</v>
      </c>
      <c r="D142" s="6">
        <v>118.95</v>
      </c>
      <c r="E142" s="6">
        <v>0</v>
      </c>
      <c r="F142" s="6">
        <f>D142+E142</f>
        <v>118.95</v>
      </c>
      <c r="G142" s="5" t="s">
        <v>3</v>
      </c>
      <c r="H142" s="5" t="s">
        <v>3</v>
      </c>
    </row>
    <row r="143" spans="1:8" x14ac:dyDescent="0.25">
      <c r="A143" s="24" t="s">
        <v>394</v>
      </c>
      <c r="B143" s="24" t="s">
        <v>395</v>
      </c>
      <c r="C143" s="24" t="s">
        <v>499</v>
      </c>
      <c r="D143" s="27">
        <f>SUM(D144:D145)</f>
        <v>2333.82</v>
      </c>
      <c r="E143" s="27">
        <f>SUM(E144:E145)</f>
        <v>0</v>
      </c>
      <c r="F143" s="27">
        <f>SUM(F144:F145)</f>
        <v>2333.82</v>
      </c>
      <c r="G143" s="24" t="s">
        <v>3</v>
      </c>
      <c r="H143" s="24" t="s">
        <v>3</v>
      </c>
    </row>
    <row r="144" spans="1:8" x14ac:dyDescent="0.25">
      <c r="A144" s="5" t="s">
        <v>3</v>
      </c>
      <c r="B144" s="5" t="s">
        <v>3</v>
      </c>
      <c r="C144" s="5" t="s">
        <v>626</v>
      </c>
      <c r="D144" s="6">
        <v>1479.79</v>
      </c>
      <c r="E144" s="6">
        <v>0</v>
      </c>
      <c r="F144" s="6">
        <f>D144+E144</f>
        <v>1479.79</v>
      </c>
      <c r="G144" s="5" t="s">
        <v>3</v>
      </c>
      <c r="H144" s="5" t="s">
        <v>3</v>
      </c>
    </row>
    <row r="145" spans="1:8" x14ac:dyDescent="0.25">
      <c r="A145" s="5" t="s">
        <v>3</v>
      </c>
      <c r="B145" s="5" t="s">
        <v>3</v>
      </c>
      <c r="C145" s="5" t="s">
        <v>627</v>
      </c>
      <c r="D145" s="6">
        <v>854.03</v>
      </c>
      <c r="E145" s="6">
        <v>0</v>
      </c>
      <c r="F145" s="6">
        <f>D145+E145</f>
        <v>854.03</v>
      </c>
      <c r="G145" s="5" t="s">
        <v>3</v>
      </c>
      <c r="H145" s="5" t="s">
        <v>3</v>
      </c>
    </row>
    <row r="146" spans="1:8" x14ac:dyDescent="0.25">
      <c r="A146" s="24" t="s">
        <v>396</v>
      </c>
      <c r="B146" s="24" t="s">
        <v>397</v>
      </c>
      <c r="C146" s="24" t="s">
        <v>499</v>
      </c>
      <c r="D146" s="27">
        <f>SUM(D147:D149)</f>
        <v>13412.1</v>
      </c>
      <c r="E146" s="27">
        <f>SUM(E147:E149)</f>
        <v>0</v>
      </c>
      <c r="F146" s="27">
        <f>SUM(F147:F149)</f>
        <v>13412.1</v>
      </c>
      <c r="G146" s="24" t="s">
        <v>3</v>
      </c>
      <c r="H146" s="24" t="s">
        <v>3</v>
      </c>
    </row>
    <row r="147" spans="1:8" x14ac:dyDescent="0.25">
      <c r="A147" s="5" t="s">
        <v>3</v>
      </c>
      <c r="B147" s="5" t="s">
        <v>3</v>
      </c>
      <c r="C147" s="5" t="s">
        <v>628</v>
      </c>
      <c r="D147" s="6">
        <v>11965</v>
      </c>
      <c r="E147" s="6">
        <v>0</v>
      </c>
      <c r="F147" s="6">
        <f>D147+E147</f>
        <v>11965</v>
      </c>
      <c r="G147" s="5" t="s">
        <v>3</v>
      </c>
      <c r="H147" s="5" t="s">
        <v>3</v>
      </c>
    </row>
    <row r="148" spans="1:8" x14ac:dyDescent="0.25">
      <c r="A148" s="5" t="s">
        <v>3</v>
      </c>
      <c r="B148" s="5" t="s">
        <v>3</v>
      </c>
      <c r="C148" s="5" t="s">
        <v>629</v>
      </c>
      <c r="D148" s="6">
        <v>887.1</v>
      </c>
      <c r="E148" s="6">
        <v>0</v>
      </c>
      <c r="F148" s="6">
        <f>D148+E148</f>
        <v>887.1</v>
      </c>
      <c r="G148" s="5" t="s">
        <v>3</v>
      </c>
      <c r="H148" s="5" t="s">
        <v>3</v>
      </c>
    </row>
    <row r="149" spans="1:8" x14ac:dyDescent="0.25">
      <c r="A149" s="5" t="s">
        <v>3</v>
      </c>
      <c r="B149" s="5" t="s">
        <v>3</v>
      </c>
      <c r="C149" s="5" t="s">
        <v>630</v>
      </c>
      <c r="D149" s="6">
        <v>560</v>
      </c>
      <c r="E149" s="6">
        <v>0</v>
      </c>
      <c r="F149" s="6">
        <f>D149+E149</f>
        <v>560</v>
      </c>
      <c r="G149" s="5" t="s">
        <v>3</v>
      </c>
      <c r="H149" s="5" t="s">
        <v>3</v>
      </c>
    </row>
    <row r="150" spans="1:8" x14ac:dyDescent="0.25">
      <c r="A150" s="24" t="s">
        <v>400</v>
      </c>
      <c r="B150" s="24" t="s">
        <v>401</v>
      </c>
      <c r="C150" s="24" t="s">
        <v>499</v>
      </c>
      <c r="D150" s="27">
        <f>SUM(D151:D152)</f>
        <v>3001.06</v>
      </c>
      <c r="E150" s="27">
        <f>SUM(E151:E152)</f>
        <v>0</v>
      </c>
      <c r="F150" s="27">
        <f>SUM(F151:F152)</f>
        <v>3001.06</v>
      </c>
      <c r="G150" s="24" t="s">
        <v>3</v>
      </c>
      <c r="H150" s="24" t="s">
        <v>3</v>
      </c>
    </row>
    <row r="151" spans="1:8" x14ac:dyDescent="0.25">
      <c r="A151" s="5" t="s">
        <v>3</v>
      </c>
      <c r="B151" s="5" t="s">
        <v>3</v>
      </c>
      <c r="C151" s="5" t="s">
        <v>631</v>
      </c>
      <c r="D151" s="6">
        <v>1877.53</v>
      </c>
      <c r="E151" s="6">
        <v>0</v>
      </c>
      <c r="F151" s="6">
        <f>D151+E151</f>
        <v>1877.53</v>
      </c>
      <c r="G151" s="5" t="s">
        <v>3</v>
      </c>
      <c r="H151" s="5" t="s">
        <v>3</v>
      </c>
    </row>
    <row r="152" spans="1:8" x14ac:dyDescent="0.25">
      <c r="A152" s="5" t="s">
        <v>3</v>
      </c>
      <c r="B152" s="5" t="s">
        <v>3</v>
      </c>
      <c r="C152" s="5" t="s">
        <v>632</v>
      </c>
      <c r="D152" s="6">
        <v>1123.53</v>
      </c>
      <c r="E152" s="6">
        <v>0</v>
      </c>
      <c r="F152" s="6">
        <f>D152+E152</f>
        <v>1123.53</v>
      </c>
      <c r="G152" s="5" t="s">
        <v>3</v>
      </c>
      <c r="H152" s="5" t="s">
        <v>3</v>
      </c>
    </row>
    <row r="153" spans="1:8" x14ac:dyDescent="0.25">
      <c r="A153" s="24" t="s">
        <v>404</v>
      </c>
      <c r="B153" s="24" t="s">
        <v>405</v>
      </c>
      <c r="C153" s="24" t="s">
        <v>499</v>
      </c>
      <c r="D153" s="27">
        <f>SUM(D154:D154)</f>
        <v>648.33</v>
      </c>
      <c r="E153" s="27">
        <f>SUM(E154:E154)</f>
        <v>0</v>
      </c>
      <c r="F153" s="27">
        <f>SUM(F154:F154)</f>
        <v>648.33</v>
      </c>
      <c r="G153" s="24" t="s">
        <v>3</v>
      </c>
      <c r="H153" s="24" t="s">
        <v>3</v>
      </c>
    </row>
    <row r="154" spans="1:8" x14ac:dyDescent="0.25">
      <c r="A154" s="5" t="s">
        <v>3</v>
      </c>
      <c r="B154" s="5" t="s">
        <v>3</v>
      </c>
      <c r="C154" s="5" t="s">
        <v>633</v>
      </c>
      <c r="D154" s="6">
        <v>648.33</v>
      </c>
      <c r="E154" s="6">
        <v>0</v>
      </c>
      <c r="F154" s="6">
        <f>D154+E154</f>
        <v>648.33</v>
      </c>
      <c r="G154" s="5" t="s">
        <v>3</v>
      </c>
      <c r="H154" s="5" t="s">
        <v>634</v>
      </c>
    </row>
    <row r="155" spans="1:8" x14ac:dyDescent="0.25">
      <c r="A155" s="24" t="s">
        <v>406</v>
      </c>
      <c r="B155" s="24" t="s">
        <v>407</v>
      </c>
      <c r="C155" s="24" t="s">
        <v>499</v>
      </c>
      <c r="D155" s="27">
        <f>SUM(D156:D163)</f>
        <v>4589.63</v>
      </c>
      <c r="E155" s="27">
        <f>SUM(E156:E163)</f>
        <v>0</v>
      </c>
      <c r="F155" s="27">
        <f>SUM(F156:F163)</f>
        <v>4589.63</v>
      </c>
      <c r="G155" s="24" t="s">
        <v>3</v>
      </c>
      <c r="H155" s="24" t="s">
        <v>3</v>
      </c>
    </row>
    <row r="156" spans="1:8" x14ac:dyDescent="0.25">
      <c r="A156" s="5" t="s">
        <v>3</v>
      </c>
      <c r="B156" s="5" t="s">
        <v>3</v>
      </c>
      <c r="C156" s="5" t="s">
        <v>635</v>
      </c>
      <c r="D156" s="6">
        <v>1429.9</v>
      </c>
      <c r="E156" s="6">
        <v>0</v>
      </c>
      <c r="F156" s="6">
        <f>D156+E156</f>
        <v>1429.9</v>
      </c>
      <c r="G156" s="5" t="s">
        <v>3</v>
      </c>
      <c r="H156" s="5" t="s">
        <v>3</v>
      </c>
    </row>
    <row r="157" spans="1:8" x14ac:dyDescent="0.25">
      <c r="A157" s="5" t="s">
        <v>3</v>
      </c>
      <c r="B157" s="5" t="s">
        <v>3</v>
      </c>
      <c r="C157" s="5" t="s">
        <v>636</v>
      </c>
      <c r="D157" s="6">
        <v>1378.8</v>
      </c>
      <c r="E157" s="6">
        <v>0</v>
      </c>
      <c r="F157" s="6">
        <f>D157+E157</f>
        <v>1378.8</v>
      </c>
      <c r="G157" s="5" t="s">
        <v>3</v>
      </c>
      <c r="H157" s="5" t="s">
        <v>3</v>
      </c>
    </row>
    <row r="158" spans="1:8" x14ac:dyDescent="0.25">
      <c r="A158" s="5" t="s">
        <v>3</v>
      </c>
      <c r="B158" s="5" t="s">
        <v>3</v>
      </c>
      <c r="C158" s="5" t="s">
        <v>637</v>
      </c>
      <c r="D158" s="6">
        <v>998</v>
      </c>
      <c r="E158" s="6">
        <v>0</v>
      </c>
      <c r="F158" s="6">
        <f>D158+E158</f>
        <v>998</v>
      </c>
      <c r="G158" s="5" t="s">
        <v>3</v>
      </c>
      <c r="H158" s="5" t="s">
        <v>3</v>
      </c>
    </row>
    <row r="159" spans="1:8" x14ac:dyDescent="0.25">
      <c r="A159" s="5" t="s">
        <v>3</v>
      </c>
      <c r="B159" s="5" t="s">
        <v>3</v>
      </c>
      <c r="C159" s="5" t="s">
        <v>638</v>
      </c>
      <c r="D159" s="6">
        <v>353.59</v>
      </c>
      <c r="E159" s="6">
        <v>0</v>
      </c>
      <c r="F159" s="6">
        <f>D159+E159</f>
        <v>353.59</v>
      </c>
      <c r="G159" s="5" t="s">
        <v>3</v>
      </c>
      <c r="H159" s="5" t="s">
        <v>3</v>
      </c>
    </row>
    <row r="160" spans="1:8" x14ac:dyDescent="0.25">
      <c r="A160" s="5" t="s">
        <v>3</v>
      </c>
      <c r="B160" s="5" t="s">
        <v>3</v>
      </c>
      <c r="C160" s="5" t="s">
        <v>639</v>
      </c>
      <c r="D160" s="6">
        <v>269.94</v>
      </c>
      <c r="E160" s="6">
        <v>0</v>
      </c>
      <c r="F160" s="6">
        <f>D160+E160</f>
        <v>269.94</v>
      </c>
      <c r="G160" s="5" t="s">
        <v>3</v>
      </c>
      <c r="H160" s="5" t="s">
        <v>3</v>
      </c>
    </row>
    <row r="161" spans="1:8" x14ac:dyDescent="0.25">
      <c r="A161" s="5" t="s">
        <v>3</v>
      </c>
      <c r="B161" s="5" t="s">
        <v>3</v>
      </c>
      <c r="C161" s="5" t="s">
        <v>640</v>
      </c>
      <c r="D161" s="6">
        <v>113.09</v>
      </c>
      <c r="E161" s="6">
        <v>0</v>
      </c>
      <c r="F161" s="6">
        <f>D161+E161</f>
        <v>113.09</v>
      </c>
      <c r="G161" s="5" t="s">
        <v>3</v>
      </c>
      <c r="H161" s="5" t="s">
        <v>3</v>
      </c>
    </row>
    <row r="162" spans="1:8" x14ac:dyDescent="0.25">
      <c r="A162" s="5" t="s">
        <v>3</v>
      </c>
      <c r="B162" s="5" t="s">
        <v>3</v>
      </c>
      <c r="C162" s="5" t="s">
        <v>641</v>
      </c>
      <c r="D162" s="6">
        <v>27.99</v>
      </c>
      <c r="E162" s="6">
        <v>0</v>
      </c>
      <c r="F162" s="6">
        <f>D162+E162</f>
        <v>27.99</v>
      </c>
      <c r="G162" s="5" t="s">
        <v>3</v>
      </c>
      <c r="H162" s="5" t="s">
        <v>3</v>
      </c>
    </row>
    <row r="163" spans="1:8" x14ac:dyDescent="0.25">
      <c r="A163" s="5" t="s">
        <v>3</v>
      </c>
      <c r="B163" s="5" t="s">
        <v>3</v>
      </c>
      <c r="C163" s="5" t="s">
        <v>642</v>
      </c>
      <c r="D163" s="6">
        <v>18.32</v>
      </c>
      <c r="E163" s="6">
        <v>0</v>
      </c>
      <c r="F163" s="6">
        <f>D163+E163</f>
        <v>18.32</v>
      </c>
      <c r="G163" s="5" t="s">
        <v>3</v>
      </c>
      <c r="H163" s="5" t="s">
        <v>3</v>
      </c>
    </row>
    <row r="164" spans="1:8" x14ac:dyDescent="0.25">
      <c r="A164" s="24" t="s">
        <v>408</v>
      </c>
      <c r="B164" s="24" t="s">
        <v>409</v>
      </c>
      <c r="C164" s="24" t="s">
        <v>499</v>
      </c>
      <c r="D164" s="27">
        <f>SUM(D165:D165)</f>
        <v>800</v>
      </c>
      <c r="E164" s="27">
        <f>SUM(E165:E165)</f>
        <v>0</v>
      </c>
      <c r="F164" s="27">
        <f>SUM(F165:F165)</f>
        <v>800</v>
      </c>
      <c r="G164" s="24" t="s">
        <v>3</v>
      </c>
      <c r="H164" s="24" t="s">
        <v>3</v>
      </c>
    </row>
    <row r="165" spans="1:8" x14ac:dyDescent="0.25">
      <c r="A165" s="5" t="s">
        <v>3</v>
      </c>
      <c r="B165" s="5" t="s">
        <v>3</v>
      </c>
      <c r="C165" s="5" t="s">
        <v>643</v>
      </c>
      <c r="D165" s="6">
        <v>800</v>
      </c>
      <c r="E165" s="6">
        <v>0</v>
      </c>
      <c r="F165" s="6">
        <f>D165+E165</f>
        <v>800</v>
      </c>
      <c r="G165" s="5" t="s">
        <v>3</v>
      </c>
      <c r="H165" s="5" t="s">
        <v>3</v>
      </c>
    </row>
    <row r="166" spans="1:8" x14ac:dyDescent="0.25">
      <c r="A166" s="24" t="s">
        <v>410</v>
      </c>
      <c r="B166" s="24" t="s">
        <v>411</v>
      </c>
      <c r="C166" s="24" t="s">
        <v>499</v>
      </c>
      <c r="D166" s="27">
        <f>SUM(D167:D175)</f>
        <v>9494.44</v>
      </c>
      <c r="E166" s="27">
        <f>SUM(E167:E175)</f>
        <v>0</v>
      </c>
      <c r="F166" s="27">
        <f>SUM(F167:F175)</f>
        <v>9494.44</v>
      </c>
      <c r="G166" s="24" t="s">
        <v>3</v>
      </c>
      <c r="H166" s="24" t="s">
        <v>3</v>
      </c>
    </row>
    <row r="167" spans="1:8" x14ac:dyDescent="0.25">
      <c r="A167" s="5" t="s">
        <v>3</v>
      </c>
      <c r="B167" s="5" t="s">
        <v>3</v>
      </c>
      <c r="C167" s="5" t="s">
        <v>644</v>
      </c>
      <c r="D167" s="6">
        <v>4754.31</v>
      </c>
      <c r="E167" s="6">
        <v>0</v>
      </c>
      <c r="F167" s="6">
        <f>D167+E167</f>
        <v>4754.31</v>
      </c>
      <c r="G167" s="5" t="s">
        <v>3</v>
      </c>
      <c r="H167" s="5" t="s">
        <v>3</v>
      </c>
    </row>
    <row r="168" spans="1:8" x14ac:dyDescent="0.25">
      <c r="A168" s="5" t="s">
        <v>3</v>
      </c>
      <c r="B168" s="5" t="s">
        <v>3</v>
      </c>
      <c r="C168" s="5" t="s">
        <v>645</v>
      </c>
      <c r="D168" s="6">
        <v>3509.83</v>
      </c>
      <c r="E168" s="6">
        <v>0</v>
      </c>
      <c r="F168" s="6">
        <f>D168+E168</f>
        <v>3509.83</v>
      </c>
      <c r="G168" s="5" t="s">
        <v>3</v>
      </c>
      <c r="H168" s="5" t="s">
        <v>3</v>
      </c>
    </row>
    <row r="169" spans="1:8" x14ac:dyDescent="0.25">
      <c r="A169" s="5" t="s">
        <v>3</v>
      </c>
      <c r="B169" s="5" t="s">
        <v>3</v>
      </c>
      <c r="C169" s="5" t="s">
        <v>646</v>
      </c>
      <c r="D169" s="6">
        <v>425.99</v>
      </c>
      <c r="E169" s="6">
        <v>0</v>
      </c>
      <c r="F169" s="6">
        <f>D169+E169</f>
        <v>425.99</v>
      </c>
      <c r="G169" s="5" t="s">
        <v>3</v>
      </c>
      <c r="H169" s="5" t="s">
        <v>3</v>
      </c>
    </row>
    <row r="170" spans="1:8" x14ac:dyDescent="0.25">
      <c r="A170" s="5" t="s">
        <v>3</v>
      </c>
      <c r="B170" s="5" t="s">
        <v>3</v>
      </c>
      <c r="C170" s="5" t="s">
        <v>647</v>
      </c>
      <c r="D170" s="6">
        <v>406.12</v>
      </c>
      <c r="E170" s="6">
        <v>0</v>
      </c>
      <c r="F170" s="6">
        <f>D170+E170</f>
        <v>406.12</v>
      </c>
      <c r="G170" s="5" t="s">
        <v>3</v>
      </c>
      <c r="H170" s="5" t="s">
        <v>3</v>
      </c>
    </row>
    <row r="171" spans="1:8" x14ac:dyDescent="0.25">
      <c r="A171" s="5" t="s">
        <v>3</v>
      </c>
      <c r="B171" s="5" t="s">
        <v>3</v>
      </c>
      <c r="C171" s="5" t="s">
        <v>648</v>
      </c>
      <c r="D171" s="6">
        <v>154.99</v>
      </c>
      <c r="E171" s="6">
        <v>0</v>
      </c>
      <c r="F171" s="6">
        <f>D171+E171</f>
        <v>154.99</v>
      </c>
      <c r="G171" s="5" t="s">
        <v>3</v>
      </c>
      <c r="H171" s="5" t="s">
        <v>3</v>
      </c>
    </row>
    <row r="172" spans="1:8" x14ac:dyDescent="0.25">
      <c r="A172" s="5" t="s">
        <v>3</v>
      </c>
      <c r="B172" s="5" t="s">
        <v>3</v>
      </c>
      <c r="C172" s="5" t="s">
        <v>649</v>
      </c>
      <c r="D172" s="6">
        <v>133</v>
      </c>
      <c r="E172" s="6">
        <v>0</v>
      </c>
      <c r="F172" s="6">
        <f>D172+E172</f>
        <v>133</v>
      </c>
      <c r="G172" s="5" t="s">
        <v>3</v>
      </c>
      <c r="H172" s="5" t="s">
        <v>3</v>
      </c>
    </row>
    <row r="173" spans="1:8" x14ac:dyDescent="0.25">
      <c r="A173" s="5" t="s">
        <v>3</v>
      </c>
      <c r="B173" s="5" t="s">
        <v>3</v>
      </c>
      <c r="C173" s="5" t="s">
        <v>650</v>
      </c>
      <c r="D173" s="6">
        <v>49.98</v>
      </c>
      <c r="E173" s="6">
        <v>0</v>
      </c>
      <c r="F173" s="6">
        <f>D173+E173</f>
        <v>49.98</v>
      </c>
      <c r="G173" s="5" t="s">
        <v>3</v>
      </c>
      <c r="H173" s="5" t="s">
        <v>3</v>
      </c>
    </row>
    <row r="174" spans="1:8" x14ac:dyDescent="0.25">
      <c r="A174" s="5" t="s">
        <v>3</v>
      </c>
      <c r="B174" s="5" t="s">
        <v>3</v>
      </c>
      <c r="C174" s="5" t="s">
        <v>651</v>
      </c>
      <c r="D174" s="6">
        <v>31.86</v>
      </c>
      <c r="E174" s="6">
        <v>0</v>
      </c>
      <c r="F174" s="6">
        <f>D174+E174</f>
        <v>31.86</v>
      </c>
      <c r="G174" s="5" t="s">
        <v>3</v>
      </c>
      <c r="H174" s="5" t="s">
        <v>3</v>
      </c>
    </row>
    <row r="175" spans="1:8" x14ac:dyDescent="0.25">
      <c r="A175" s="5" t="s">
        <v>3</v>
      </c>
      <c r="B175" s="5" t="s">
        <v>3</v>
      </c>
      <c r="C175" s="5" t="s">
        <v>652</v>
      </c>
      <c r="D175" s="6">
        <v>28.36</v>
      </c>
      <c r="E175" s="6">
        <v>0</v>
      </c>
      <c r="F175" s="6">
        <f>D175+E175</f>
        <v>28.36</v>
      </c>
      <c r="G175" s="5" t="s">
        <v>3</v>
      </c>
      <c r="H175" s="5" t="s">
        <v>3</v>
      </c>
    </row>
    <row r="176" spans="1:8" x14ac:dyDescent="0.25">
      <c r="A176" s="24" t="s">
        <v>414</v>
      </c>
      <c r="B176" s="24" t="s">
        <v>415</v>
      </c>
      <c r="C176" s="24" t="s">
        <v>499</v>
      </c>
      <c r="D176" s="27">
        <f>SUM(D177:D177)</f>
        <v>7000</v>
      </c>
      <c r="E176" s="27">
        <f>SUM(E177:E177)</f>
        <v>0</v>
      </c>
      <c r="F176" s="27">
        <f>SUM(F177:F177)</f>
        <v>7000</v>
      </c>
      <c r="G176" s="24" t="s">
        <v>3</v>
      </c>
      <c r="H176" s="24" t="s">
        <v>3</v>
      </c>
    </row>
    <row r="177" spans="1:8" x14ac:dyDescent="0.25">
      <c r="A177" s="5" t="s">
        <v>3</v>
      </c>
      <c r="B177" s="5" t="s">
        <v>3</v>
      </c>
      <c r="C177" s="5" t="s">
        <v>653</v>
      </c>
      <c r="D177" s="6">
        <v>7000</v>
      </c>
      <c r="E177" s="6">
        <v>0</v>
      </c>
      <c r="F177" s="6">
        <f>D177+E177</f>
        <v>7000</v>
      </c>
      <c r="G177" s="5" t="s">
        <v>3</v>
      </c>
      <c r="H177" s="5" t="s">
        <v>3</v>
      </c>
    </row>
    <row r="178" spans="1:8" x14ac:dyDescent="0.25">
      <c r="A178" s="24" t="s">
        <v>416</v>
      </c>
      <c r="B178" s="24" t="s">
        <v>417</v>
      </c>
      <c r="C178" s="24" t="s">
        <v>499</v>
      </c>
      <c r="D178" s="27">
        <f>SUM(D179:D179)</f>
        <v>1043.72</v>
      </c>
      <c r="E178" s="27">
        <f>SUM(E179:E179)</f>
        <v>0</v>
      </c>
      <c r="F178" s="27">
        <f>SUM(F179:F179)</f>
        <v>1043.72</v>
      </c>
      <c r="G178" s="24" t="s">
        <v>3</v>
      </c>
      <c r="H178" s="24" t="s">
        <v>3</v>
      </c>
    </row>
    <row r="179" spans="1:8" x14ac:dyDescent="0.25">
      <c r="A179" s="5" t="s">
        <v>3</v>
      </c>
      <c r="B179" s="5" t="s">
        <v>3</v>
      </c>
      <c r="C179" s="5" t="s">
        <v>654</v>
      </c>
      <c r="D179" s="6">
        <v>1043.72</v>
      </c>
      <c r="E179" s="6">
        <v>0</v>
      </c>
      <c r="F179" s="6">
        <f>D179+E179</f>
        <v>1043.72</v>
      </c>
      <c r="G179" s="5" t="s">
        <v>3</v>
      </c>
      <c r="H179" s="5" t="s">
        <v>3</v>
      </c>
    </row>
    <row r="180" spans="1:8" x14ac:dyDescent="0.25">
      <c r="A180" s="24" t="s">
        <v>422</v>
      </c>
      <c r="B180" s="24" t="s">
        <v>423</v>
      </c>
      <c r="C180" s="24" t="s">
        <v>499</v>
      </c>
      <c r="D180" s="27">
        <f>SUM(D181:D181)</f>
        <v>5400</v>
      </c>
      <c r="E180" s="27">
        <f>SUM(E181:E181)</f>
        <v>0</v>
      </c>
      <c r="F180" s="27">
        <f>SUM(F181:F181)</f>
        <v>5400</v>
      </c>
      <c r="G180" s="24" t="s">
        <v>3</v>
      </c>
      <c r="H180" s="24" t="s">
        <v>3</v>
      </c>
    </row>
    <row r="181" spans="1:8" x14ac:dyDescent="0.25">
      <c r="A181" s="5" t="s">
        <v>3</v>
      </c>
      <c r="B181" s="5" t="s">
        <v>3</v>
      </c>
      <c r="C181" s="5" t="s">
        <v>655</v>
      </c>
      <c r="D181" s="6">
        <v>5400</v>
      </c>
      <c r="E181" s="6">
        <v>0</v>
      </c>
      <c r="F181" s="6">
        <f>D181+E181</f>
        <v>5400</v>
      </c>
      <c r="G181" s="5" t="s">
        <v>3</v>
      </c>
      <c r="H181" s="5" t="s">
        <v>656</v>
      </c>
    </row>
    <row r="182" spans="1:8" x14ac:dyDescent="0.25">
      <c r="A182" s="24" t="s">
        <v>424</v>
      </c>
      <c r="B182" s="24" t="s">
        <v>425</v>
      </c>
      <c r="C182" s="24" t="s">
        <v>499</v>
      </c>
      <c r="D182" s="27">
        <f>SUM(D183:D183)</f>
        <v>507493.95</v>
      </c>
      <c r="E182" s="27">
        <f>SUM(E183:E183)</f>
        <v>0</v>
      </c>
      <c r="F182" s="27">
        <f>SUM(F183:F183)</f>
        <v>507493.95</v>
      </c>
      <c r="G182" s="24" t="s">
        <v>3</v>
      </c>
      <c r="H182" s="24" t="s">
        <v>3</v>
      </c>
    </row>
    <row r="183" spans="1:8" x14ac:dyDescent="0.25">
      <c r="A183" s="5" t="s">
        <v>3</v>
      </c>
      <c r="B183" s="5" t="s">
        <v>3</v>
      </c>
      <c r="C183" s="5" t="s">
        <v>657</v>
      </c>
      <c r="D183" s="6">
        <v>507493.95</v>
      </c>
      <c r="E183" s="6">
        <v>0</v>
      </c>
      <c r="F183" s="6">
        <f>D183+E183</f>
        <v>507493.95</v>
      </c>
      <c r="G183" s="5" t="s">
        <v>3</v>
      </c>
      <c r="H183" s="5" t="s">
        <v>3</v>
      </c>
    </row>
    <row r="184" spans="1:8" x14ac:dyDescent="0.25">
      <c r="A184" s="24" t="s">
        <v>426</v>
      </c>
      <c r="B184" s="24" t="s">
        <v>427</v>
      </c>
      <c r="C184" s="24" t="s">
        <v>499</v>
      </c>
      <c r="D184" s="27">
        <f>SUM(D185:D185)</f>
        <v>213859</v>
      </c>
      <c r="E184" s="27">
        <f>SUM(E185:E185)</f>
        <v>0</v>
      </c>
      <c r="F184" s="27">
        <f>SUM(F185:F185)</f>
        <v>213859</v>
      </c>
      <c r="G184" s="24" t="s">
        <v>3</v>
      </c>
      <c r="H184" s="24" t="s">
        <v>3</v>
      </c>
    </row>
    <row r="185" spans="1:8" x14ac:dyDescent="0.25">
      <c r="A185" s="5" t="s">
        <v>3</v>
      </c>
      <c r="B185" s="5" t="s">
        <v>3</v>
      </c>
      <c r="C185" s="5" t="s">
        <v>658</v>
      </c>
      <c r="D185" s="6">
        <v>213859</v>
      </c>
      <c r="E185" s="6">
        <v>0</v>
      </c>
      <c r="F185" s="6">
        <f>D185+E185</f>
        <v>213859</v>
      </c>
      <c r="G185" s="5" t="s">
        <v>3</v>
      </c>
      <c r="H185" s="5" t="s">
        <v>3</v>
      </c>
    </row>
    <row r="186" spans="1:8" x14ac:dyDescent="0.25">
      <c r="A186" s="24" t="s">
        <v>428</v>
      </c>
      <c r="B186" s="24" t="s">
        <v>429</v>
      </c>
      <c r="C186" s="24" t="s">
        <v>499</v>
      </c>
      <c r="D186" s="27">
        <f>SUM(D187:D187)</f>
        <v>12376.9</v>
      </c>
      <c r="E186" s="27">
        <f>SUM(E187:E187)</f>
        <v>0</v>
      </c>
      <c r="F186" s="27">
        <f>SUM(F187:F187)</f>
        <v>12376.9</v>
      </c>
      <c r="G186" s="24" t="s">
        <v>3</v>
      </c>
      <c r="H186" s="24" t="s">
        <v>3</v>
      </c>
    </row>
    <row r="187" spans="1:8" x14ac:dyDescent="0.25">
      <c r="A187" s="5" t="s">
        <v>3</v>
      </c>
      <c r="B187" s="5" t="s">
        <v>3</v>
      </c>
      <c r="C187" s="5" t="s">
        <v>659</v>
      </c>
      <c r="D187" s="6">
        <v>12376.9</v>
      </c>
      <c r="E187" s="6">
        <v>0</v>
      </c>
      <c r="F187" s="6">
        <f>D187+E187</f>
        <v>12376.9</v>
      </c>
      <c r="G187" s="5" t="s">
        <v>3</v>
      </c>
      <c r="H187" s="5" t="s">
        <v>3</v>
      </c>
    </row>
    <row r="188" spans="1:8" x14ac:dyDescent="0.25">
      <c r="A188" s="24" t="s">
        <v>430</v>
      </c>
      <c r="B188" s="24" t="s">
        <v>431</v>
      </c>
      <c r="C188" s="24" t="s">
        <v>499</v>
      </c>
      <c r="D188" s="27">
        <f>SUM(D189:D198)</f>
        <v>66164</v>
      </c>
      <c r="E188" s="27">
        <f>SUM(E189:E198)</f>
        <v>-6285.36</v>
      </c>
      <c r="F188" s="27">
        <f>SUM(F189:F198)</f>
        <v>59878.64</v>
      </c>
      <c r="G188" s="24" t="s">
        <v>3</v>
      </c>
      <c r="H188" s="24" t="s">
        <v>3</v>
      </c>
    </row>
    <row r="189" spans="1:8" x14ac:dyDescent="0.25">
      <c r="A189" s="5" t="s">
        <v>3</v>
      </c>
      <c r="B189" s="5" t="s">
        <v>3</v>
      </c>
      <c r="C189" s="5" t="s">
        <v>90</v>
      </c>
      <c r="D189" s="6">
        <v>0</v>
      </c>
      <c r="E189" s="29">
        <v>24696.64</v>
      </c>
      <c r="F189" s="6">
        <f>D189+E189</f>
        <v>24696.64</v>
      </c>
      <c r="G189" s="23" t="s">
        <v>660</v>
      </c>
      <c r="H189" s="5" t="s">
        <v>3</v>
      </c>
    </row>
    <row r="190" spans="1:8" x14ac:dyDescent="0.25">
      <c r="A190" s="5" t="s">
        <v>3</v>
      </c>
      <c r="B190" s="5" t="s">
        <v>3</v>
      </c>
      <c r="C190" s="5" t="s">
        <v>55</v>
      </c>
      <c r="D190" s="6">
        <v>40000</v>
      </c>
      <c r="E190" s="28">
        <v>-20000</v>
      </c>
      <c r="F190" s="6">
        <f>D190+E190</f>
        <v>20000</v>
      </c>
      <c r="G190" s="22" t="s">
        <v>135</v>
      </c>
      <c r="H190" s="5" t="s">
        <v>3</v>
      </c>
    </row>
    <row r="191" spans="1:8" x14ac:dyDescent="0.25">
      <c r="A191" s="5" t="s">
        <v>3</v>
      </c>
      <c r="B191" s="5" t="s">
        <v>3</v>
      </c>
      <c r="C191" s="5" t="s">
        <v>58</v>
      </c>
      <c r="D191" s="6">
        <v>10000</v>
      </c>
      <c r="E191" s="28">
        <v>-5000</v>
      </c>
      <c r="F191" s="6">
        <f>D191+E191</f>
        <v>5000</v>
      </c>
      <c r="G191" s="22" t="s">
        <v>127</v>
      </c>
      <c r="H191" s="5" t="s">
        <v>3</v>
      </c>
    </row>
    <row r="192" spans="1:8" x14ac:dyDescent="0.25">
      <c r="A192" s="5" t="s">
        <v>3</v>
      </c>
      <c r="B192" s="5" t="s">
        <v>3</v>
      </c>
      <c r="C192" s="5" t="s">
        <v>60</v>
      </c>
      <c r="D192" s="6">
        <v>4000</v>
      </c>
      <c r="E192" s="28">
        <v>-2000</v>
      </c>
      <c r="F192" s="6">
        <f>D192+E192</f>
        <v>2000</v>
      </c>
      <c r="G192" s="22" t="s">
        <v>174</v>
      </c>
      <c r="H192" s="5" t="s">
        <v>3</v>
      </c>
    </row>
    <row r="193" spans="1:8" x14ac:dyDescent="0.25">
      <c r="A193" s="5" t="s">
        <v>3</v>
      </c>
      <c r="B193" s="5" t="s">
        <v>3</v>
      </c>
      <c r="C193" s="5" t="s">
        <v>62</v>
      </c>
      <c r="D193" s="6">
        <v>2000</v>
      </c>
      <c r="E193" s="28">
        <v>-1000</v>
      </c>
      <c r="F193" s="6">
        <f>D193+E193</f>
        <v>1000</v>
      </c>
      <c r="G193" s="22" t="s">
        <v>194</v>
      </c>
      <c r="H193" s="5" t="s">
        <v>3</v>
      </c>
    </row>
    <row r="194" spans="1:8" x14ac:dyDescent="0.25">
      <c r="A194" s="5" t="s">
        <v>3</v>
      </c>
      <c r="B194" s="5" t="s">
        <v>3</v>
      </c>
      <c r="C194" s="5" t="s">
        <v>64</v>
      </c>
      <c r="D194" s="6">
        <v>1800</v>
      </c>
      <c r="E194" s="28">
        <v>-900</v>
      </c>
      <c r="F194" s="6">
        <f>D194+E194</f>
        <v>900</v>
      </c>
      <c r="G194" s="22" t="s">
        <v>258</v>
      </c>
      <c r="H194" s="5" t="s">
        <v>3</v>
      </c>
    </row>
    <row r="195" spans="1:8" x14ac:dyDescent="0.25">
      <c r="A195" s="5" t="s">
        <v>3</v>
      </c>
      <c r="B195" s="5" t="s">
        <v>3</v>
      </c>
      <c r="C195" s="5" t="s">
        <v>66</v>
      </c>
      <c r="D195" s="6">
        <v>800</v>
      </c>
      <c r="E195" s="28">
        <v>-800</v>
      </c>
      <c r="F195" s="6">
        <f>D195+E195</f>
        <v>0</v>
      </c>
      <c r="G195" s="22" t="s">
        <v>137</v>
      </c>
      <c r="H195" s="5" t="s">
        <v>3</v>
      </c>
    </row>
    <row r="196" spans="1:8" x14ac:dyDescent="0.25">
      <c r="A196" s="5" t="s">
        <v>3</v>
      </c>
      <c r="B196" s="5" t="s">
        <v>3</v>
      </c>
      <c r="C196" s="5" t="s">
        <v>68</v>
      </c>
      <c r="D196" s="6">
        <v>1400</v>
      </c>
      <c r="E196" s="28">
        <v>-700</v>
      </c>
      <c r="F196" s="6">
        <f>D196+E196</f>
        <v>700</v>
      </c>
      <c r="G196" s="22" t="s">
        <v>661</v>
      </c>
      <c r="H196" s="5" t="s">
        <v>3</v>
      </c>
    </row>
    <row r="197" spans="1:8" x14ac:dyDescent="0.25">
      <c r="A197" s="5" t="s">
        <v>3</v>
      </c>
      <c r="B197" s="5" t="s">
        <v>3</v>
      </c>
      <c r="C197" s="5" t="s">
        <v>70</v>
      </c>
      <c r="D197" s="6">
        <v>1164</v>
      </c>
      <c r="E197" s="28">
        <v>-582</v>
      </c>
      <c r="F197" s="6">
        <f>D197+E197</f>
        <v>582</v>
      </c>
      <c r="G197" s="22" t="s">
        <v>662</v>
      </c>
      <c r="H197" s="5" t="s">
        <v>3</v>
      </c>
    </row>
    <row r="198" spans="1:8" x14ac:dyDescent="0.25">
      <c r="A198" s="5" t="s">
        <v>3</v>
      </c>
      <c r="B198" s="5" t="s">
        <v>3</v>
      </c>
      <c r="C198" s="5" t="s">
        <v>663</v>
      </c>
      <c r="D198" s="6">
        <v>5000</v>
      </c>
      <c r="E198" s="6">
        <v>0</v>
      </c>
      <c r="F198" s="6">
        <f>D198+E198</f>
        <v>5000</v>
      </c>
      <c r="G198" s="5" t="s">
        <v>3</v>
      </c>
      <c r="H198" s="5" t="s">
        <v>3</v>
      </c>
    </row>
    <row r="199" spans="1:8" x14ac:dyDescent="0.25">
      <c r="A199" s="24" t="s">
        <v>432</v>
      </c>
      <c r="B199" s="24" t="s">
        <v>433</v>
      </c>
      <c r="C199" s="24" t="s">
        <v>499</v>
      </c>
      <c r="D199" s="27">
        <f>SUM(D200:D200)</f>
        <v>35000</v>
      </c>
      <c r="E199" s="27">
        <f>SUM(E200:E200)</f>
        <v>0</v>
      </c>
      <c r="F199" s="27">
        <f>SUM(F200:F200)</f>
        <v>35000</v>
      </c>
      <c r="G199" s="24" t="s">
        <v>3</v>
      </c>
      <c r="H199" s="24" t="s">
        <v>3</v>
      </c>
    </row>
    <row r="200" spans="1:8" x14ac:dyDescent="0.25">
      <c r="A200" s="5" t="s">
        <v>3</v>
      </c>
      <c r="B200" s="5" t="s">
        <v>3</v>
      </c>
      <c r="C200" s="5" t="s">
        <v>182</v>
      </c>
      <c r="D200" s="6">
        <v>35000</v>
      </c>
      <c r="E200" s="6">
        <v>0</v>
      </c>
      <c r="F200" s="6">
        <f>D200+E200</f>
        <v>35000</v>
      </c>
      <c r="G200" s="5" t="s">
        <v>3</v>
      </c>
      <c r="H200" s="5" t="s">
        <v>3</v>
      </c>
    </row>
    <row r="201" spans="1:8" x14ac:dyDescent="0.25">
      <c r="A201" s="24" t="s">
        <v>440</v>
      </c>
      <c r="B201" s="24" t="s">
        <v>441</v>
      </c>
      <c r="C201" s="24" t="s">
        <v>499</v>
      </c>
      <c r="D201" s="27">
        <f>SUM(D202:D202)</f>
        <v>7602.7</v>
      </c>
      <c r="E201" s="27">
        <f>SUM(E202:E202)</f>
        <v>0</v>
      </c>
      <c r="F201" s="27">
        <f>SUM(F202:F202)</f>
        <v>7602.7</v>
      </c>
      <c r="G201" s="24" t="s">
        <v>3</v>
      </c>
      <c r="H201" s="24" t="s">
        <v>3</v>
      </c>
    </row>
    <row r="202" spans="1:8" x14ac:dyDescent="0.25">
      <c r="A202" s="5" t="s">
        <v>3</v>
      </c>
      <c r="B202" s="5" t="s">
        <v>3</v>
      </c>
      <c r="C202" s="5" t="s">
        <v>664</v>
      </c>
      <c r="D202" s="6">
        <v>7602.7</v>
      </c>
      <c r="E202" s="6">
        <v>0</v>
      </c>
      <c r="F202" s="6">
        <f>D202+E202</f>
        <v>7602.7</v>
      </c>
      <c r="G202" s="5" t="s">
        <v>3</v>
      </c>
      <c r="H202" s="5" t="s">
        <v>3</v>
      </c>
    </row>
    <row r="203" spans="1:8" x14ac:dyDescent="0.25">
      <c r="A203" s="24" t="s">
        <v>448</v>
      </c>
      <c r="B203" s="24" t="s">
        <v>449</v>
      </c>
      <c r="C203" s="24" t="s">
        <v>499</v>
      </c>
      <c r="D203" s="27">
        <f>SUM(D204:D204)</f>
        <v>77.07</v>
      </c>
      <c r="E203" s="27">
        <f>SUM(E204:E204)</f>
        <v>0</v>
      </c>
      <c r="F203" s="27">
        <f>SUM(F204:F204)</f>
        <v>77.07</v>
      </c>
      <c r="G203" s="24" t="s">
        <v>3</v>
      </c>
      <c r="H203" s="24" t="s">
        <v>3</v>
      </c>
    </row>
    <row r="204" spans="1:8" x14ac:dyDescent="0.25">
      <c r="A204" s="5" t="s">
        <v>3</v>
      </c>
      <c r="B204" s="5" t="s">
        <v>3</v>
      </c>
      <c r="C204" s="5" t="s">
        <v>665</v>
      </c>
      <c r="D204" s="6">
        <v>77.07</v>
      </c>
      <c r="E204" s="6">
        <v>0</v>
      </c>
      <c r="F204" s="6">
        <f>D204+E204</f>
        <v>77.07</v>
      </c>
      <c r="G204" s="5" t="s">
        <v>3</v>
      </c>
      <c r="H204" s="5" t="s">
        <v>3</v>
      </c>
    </row>
    <row r="205" spans="1:8" x14ac:dyDescent="0.25">
      <c r="A205" s="24" t="s">
        <v>450</v>
      </c>
      <c r="B205" s="24" t="s">
        <v>451</v>
      </c>
      <c r="C205" s="24" t="s">
        <v>499</v>
      </c>
      <c r="D205" s="27">
        <f>SUM(D206:D206)</f>
        <v>19289.18</v>
      </c>
      <c r="E205" s="27">
        <f>SUM(E206:E206)</f>
        <v>0</v>
      </c>
      <c r="F205" s="27">
        <f>SUM(F206:F206)</f>
        <v>19289.18</v>
      </c>
      <c r="G205" s="24" t="s">
        <v>3</v>
      </c>
      <c r="H205" s="24" t="s">
        <v>3</v>
      </c>
    </row>
    <row r="206" spans="1:8" x14ac:dyDescent="0.25">
      <c r="A206" s="5" t="s">
        <v>3</v>
      </c>
      <c r="B206" s="5" t="s">
        <v>3</v>
      </c>
      <c r="C206" s="5" t="s">
        <v>666</v>
      </c>
      <c r="D206" s="6">
        <v>19289.18</v>
      </c>
      <c r="E206" s="6">
        <v>0</v>
      </c>
      <c r="F206" s="6">
        <f>D206+E206</f>
        <v>19289.18</v>
      </c>
      <c r="G206" s="5" t="s">
        <v>3</v>
      </c>
      <c r="H206" s="5" t="s">
        <v>3</v>
      </c>
    </row>
    <row r="207" spans="1:8" x14ac:dyDescent="0.25">
      <c r="A207" s="24" t="s">
        <v>452</v>
      </c>
      <c r="B207" s="24" t="s">
        <v>453</v>
      </c>
      <c r="C207" s="24" t="s">
        <v>499</v>
      </c>
      <c r="D207" s="27">
        <f>SUM(D208:D210)</f>
        <v>41323.55</v>
      </c>
      <c r="E207" s="27">
        <f>SUM(E208:E210)</f>
        <v>0</v>
      </c>
      <c r="F207" s="27">
        <f>SUM(F208:F210)</f>
        <v>41323.55</v>
      </c>
      <c r="G207" s="24" t="s">
        <v>3</v>
      </c>
      <c r="H207" s="24" t="s">
        <v>3</v>
      </c>
    </row>
    <row r="208" spans="1:8" x14ac:dyDescent="0.25">
      <c r="A208" s="5" t="s">
        <v>3</v>
      </c>
      <c r="B208" s="5" t="s">
        <v>3</v>
      </c>
      <c r="C208" s="5" t="s">
        <v>131</v>
      </c>
      <c r="D208" s="6">
        <v>19922.37</v>
      </c>
      <c r="E208" s="6">
        <v>0</v>
      </c>
      <c r="F208" s="6">
        <f>D208+E208</f>
        <v>19922.37</v>
      </c>
      <c r="G208" s="5" t="s">
        <v>3</v>
      </c>
      <c r="H208" s="5" t="s">
        <v>667</v>
      </c>
    </row>
    <row r="209" spans="1:8" x14ac:dyDescent="0.25">
      <c r="A209" s="5" t="s">
        <v>3</v>
      </c>
      <c r="B209" s="5" t="s">
        <v>3</v>
      </c>
      <c r="C209" s="5" t="s">
        <v>199</v>
      </c>
      <c r="D209" s="6">
        <v>11485.18</v>
      </c>
      <c r="E209" s="6">
        <v>0</v>
      </c>
      <c r="F209" s="6">
        <f>D209+E209</f>
        <v>11485.18</v>
      </c>
      <c r="G209" s="5" t="s">
        <v>3</v>
      </c>
      <c r="H209" s="5" t="s">
        <v>668</v>
      </c>
    </row>
    <row r="210" spans="1:8" x14ac:dyDescent="0.25">
      <c r="A210" s="5" t="s">
        <v>3</v>
      </c>
      <c r="B210" s="5" t="s">
        <v>3</v>
      </c>
      <c r="C210" s="5" t="s">
        <v>669</v>
      </c>
      <c r="D210" s="6">
        <v>9916</v>
      </c>
      <c r="E210" s="6">
        <v>0</v>
      </c>
      <c r="F210" s="6">
        <f>D210+E210</f>
        <v>9916</v>
      </c>
      <c r="G210" s="5" t="s">
        <v>3</v>
      </c>
      <c r="H210" s="5" t="s">
        <v>3</v>
      </c>
    </row>
    <row r="211" spans="1:8" x14ac:dyDescent="0.25">
      <c r="A211" s="24" t="s">
        <v>454</v>
      </c>
      <c r="B211" s="24" t="s">
        <v>455</v>
      </c>
      <c r="C211" s="24" t="s">
        <v>499</v>
      </c>
      <c r="D211" s="27">
        <f>SUM(D212:D214)</f>
        <v>7580</v>
      </c>
      <c r="E211" s="27">
        <f>SUM(E212:E214)</f>
        <v>0</v>
      </c>
      <c r="F211" s="27">
        <f>SUM(F212:F214)</f>
        <v>7580</v>
      </c>
      <c r="G211" s="24" t="s">
        <v>3</v>
      </c>
      <c r="H211" s="24" t="s">
        <v>3</v>
      </c>
    </row>
    <row r="212" spans="1:8" x14ac:dyDescent="0.25">
      <c r="A212" s="5" t="s">
        <v>3</v>
      </c>
      <c r="B212" s="5" t="s">
        <v>3</v>
      </c>
      <c r="C212" s="5" t="s">
        <v>670</v>
      </c>
      <c r="D212" s="6">
        <v>4780</v>
      </c>
      <c r="E212" s="6">
        <v>0</v>
      </c>
      <c r="F212" s="6">
        <f>D212+E212</f>
        <v>4780</v>
      </c>
      <c r="G212" s="5" t="s">
        <v>3</v>
      </c>
      <c r="H212" s="5" t="s">
        <v>3</v>
      </c>
    </row>
    <row r="213" spans="1:8" x14ac:dyDescent="0.25">
      <c r="A213" s="5" t="s">
        <v>3</v>
      </c>
      <c r="B213" s="5" t="s">
        <v>3</v>
      </c>
      <c r="C213" s="5" t="s">
        <v>248</v>
      </c>
      <c r="D213" s="6">
        <v>2000</v>
      </c>
      <c r="E213" s="6">
        <v>0</v>
      </c>
      <c r="F213" s="6">
        <f>D213+E213</f>
        <v>2000</v>
      </c>
      <c r="G213" s="5" t="s">
        <v>3</v>
      </c>
      <c r="H213" s="5" t="s">
        <v>3</v>
      </c>
    </row>
    <row r="214" spans="1:8" x14ac:dyDescent="0.25">
      <c r="A214" s="5" t="s">
        <v>3</v>
      </c>
      <c r="B214" s="5" t="s">
        <v>3</v>
      </c>
      <c r="C214" s="5" t="s">
        <v>66</v>
      </c>
      <c r="D214" s="6">
        <v>800</v>
      </c>
      <c r="E214" s="6">
        <v>0</v>
      </c>
      <c r="F214" s="6">
        <f>D214+E214</f>
        <v>800</v>
      </c>
      <c r="G214" s="5" t="s">
        <v>3</v>
      </c>
      <c r="H214" s="5" t="s">
        <v>3</v>
      </c>
    </row>
    <row r="215" spans="1:8" x14ac:dyDescent="0.25">
      <c r="A215" s="24" t="s">
        <v>456</v>
      </c>
      <c r="B215" s="24" t="s">
        <v>457</v>
      </c>
      <c r="C215" s="24" t="s">
        <v>499</v>
      </c>
      <c r="D215" s="27">
        <f>SUM(D216:D216)</f>
        <v>7500</v>
      </c>
      <c r="E215" s="27">
        <f>SUM(E216:E216)</f>
        <v>0</v>
      </c>
      <c r="F215" s="27">
        <f>SUM(F216:F216)</f>
        <v>7500</v>
      </c>
      <c r="G215" s="24" t="s">
        <v>3</v>
      </c>
      <c r="H215" s="24" t="s">
        <v>3</v>
      </c>
    </row>
    <row r="216" spans="1:8" x14ac:dyDescent="0.25">
      <c r="A216" s="5" t="s">
        <v>3</v>
      </c>
      <c r="B216" s="5" t="s">
        <v>3</v>
      </c>
      <c r="C216" s="5" t="s">
        <v>671</v>
      </c>
      <c r="D216" s="6">
        <v>7500</v>
      </c>
      <c r="E216" s="6">
        <v>0</v>
      </c>
      <c r="F216" s="6">
        <f>D216+E216</f>
        <v>7500</v>
      </c>
      <c r="G216" s="5" t="s">
        <v>3</v>
      </c>
      <c r="H216" s="5" t="s">
        <v>3</v>
      </c>
    </row>
    <row r="217" spans="1:8" x14ac:dyDescent="0.25">
      <c r="A217" s="24" t="s">
        <v>458</v>
      </c>
      <c r="B217" s="24" t="s">
        <v>459</v>
      </c>
      <c r="C217" s="24" t="s">
        <v>499</v>
      </c>
      <c r="D217" s="27">
        <f>SUM(D218:D279)</f>
        <v>1099975.75</v>
      </c>
      <c r="E217" s="27">
        <f>SUM(E218:E279)</f>
        <v>-8000</v>
      </c>
      <c r="F217" s="27">
        <f>SUM(F218:F279)</f>
        <v>1091975.75</v>
      </c>
      <c r="G217" s="24" t="s">
        <v>3</v>
      </c>
      <c r="H217" s="24" t="s">
        <v>3</v>
      </c>
    </row>
    <row r="218" spans="1:8" x14ac:dyDescent="0.25">
      <c r="A218" s="5" t="s">
        <v>3</v>
      </c>
      <c r="B218" s="5" t="s">
        <v>3</v>
      </c>
      <c r="C218" s="5" t="s">
        <v>85</v>
      </c>
      <c r="D218" s="6">
        <v>10000</v>
      </c>
      <c r="E218" s="29">
        <v>35000</v>
      </c>
      <c r="F218" s="6">
        <f>D218+E218</f>
        <v>45000</v>
      </c>
      <c r="G218" s="23" t="s">
        <v>672</v>
      </c>
      <c r="H218" s="5" t="s">
        <v>673</v>
      </c>
    </row>
    <row r="219" spans="1:8" x14ac:dyDescent="0.25">
      <c r="A219" s="5" t="s">
        <v>3</v>
      </c>
      <c r="B219" s="5" t="s">
        <v>3</v>
      </c>
      <c r="C219" s="5" t="s">
        <v>72</v>
      </c>
      <c r="D219" s="6">
        <v>33333.33</v>
      </c>
      <c r="E219" s="14">
        <v>-33333.33</v>
      </c>
      <c r="F219" s="6">
        <f>D219+E219</f>
        <v>0</v>
      </c>
      <c r="G219" s="15" t="s">
        <v>176</v>
      </c>
      <c r="H219" s="5" t="s">
        <v>674</v>
      </c>
    </row>
    <row r="220" spans="1:8" x14ac:dyDescent="0.25">
      <c r="A220" s="5" t="s">
        <v>3</v>
      </c>
      <c r="B220" s="5" t="s">
        <v>3</v>
      </c>
      <c r="C220" s="5" t="s">
        <v>88</v>
      </c>
      <c r="D220" s="6">
        <v>31278</v>
      </c>
      <c r="E220" s="29">
        <v>30000</v>
      </c>
      <c r="F220" s="6">
        <f>D220+E220</f>
        <v>61278</v>
      </c>
      <c r="G220" s="23" t="s">
        <v>289</v>
      </c>
      <c r="H220" s="5" t="s">
        <v>675</v>
      </c>
    </row>
    <row r="221" spans="1:8" x14ac:dyDescent="0.25">
      <c r="A221" s="5" t="s">
        <v>3</v>
      </c>
      <c r="B221" s="5" t="s">
        <v>3</v>
      </c>
      <c r="C221" s="5" t="s">
        <v>77</v>
      </c>
      <c r="D221" s="6">
        <v>22166.67</v>
      </c>
      <c r="E221" s="14">
        <v>-22166.67</v>
      </c>
      <c r="F221" s="6">
        <f>D221+E221</f>
        <v>0</v>
      </c>
      <c r="G221" s="15" t="s">
        <v>501</v>
      </c>
      <c r="H221" s="5" t="s">
        <v>676</v>
      </c>
    </row>
    <row r="222" spans="1:8" x14ac:dyDescent="0.25">
      <c r="A222" s="5" t="s">
        <v>3</v>
      </c>
      <c r="B222" s="5" t="s">
        <v>3</v>
      </c>
      <c r="C222" s="5" t="s">
        <v>79</v>
      </c>
      <c r="D222" s="6">
        <v>17500</v>
      </c>
      <c r="E222" s="14">
        <v>-17500</v>
      </c>
      <c r="F222" s="6">
        <f>D222+E222</f>
        <v>0</v>
      </c>
      <c r="G222" s="15" t="s">
        <v>502</v>
      </c>
      <c r="H222" s="5" t="s">
        <v>3</v>
      </c>
    </row>
    <row r="223" spans="1:8" x14ac:dyDescent="0.25">
      <c r="A223" s="5" t="s">
        <v>3</v>
      </c>
      <c r="B223" s="5" t="s">
        <v>3</v>
      </c>
      <c r="C223" s="5" t="s">
        <v>298</v>
      </c>
      <c r="D223" s="6">
        <v>146912.69</v>
      </c>
      <c r="E223" s="6">
        <v>0</v>
      </c>
      <c r="F223" s="6">
        <f>D223+E223</f>
        <v>146912.69</v>
      </c>
      <c r="G223" s="5" t="s">
        <v>3</v>
      </c>
      <c r="H223" s="5" t="s">
        <v>677</v>
      </c>
    </row>
    <row r="224" spans="1:8" x14ac:dyDescent="0.25">
      <c r="A224" s="5" t="s">
        <v>3</v>
      </c>
      <c r="B224" s="5" t="s">
        <v>3</v>
      </c>
      <c r="C224" s="5" t="s">
        <v>678</v>
      </c>
      <c r="D224" s="6">
        <v>51171.5</v>
      </c>
      <c r="E224" s="6">
        <v>0</v>
      </c>
      <c r="F224" s="6">
        <f>D224+E224</f>
        <v>51171.5</v>
      </c>
      <c r="G224" s="5" t="s">
        <v>3</v>
      </c>
      <c r="H224" s="5" t="s">
        <v>679</v>
      </c>
    </row>
    <row r="225" spans="1:8" x14ac:dyDescent="0.25">
      <c r="A225" s="5" t="s">
        <v>3</v>
      </c>
      <c r="B225" s="5" t="s">
        <v>3</v>
      </c>
      <c r="C225" s="5" t="s">
        <v>680</v>
      </c>
      <c r="D225" s="6">
        <v>49354.84</v>
      </c>
      <c r="E225" s="6">
        <v>0</v>
      </c>
      <c r="F225" s="6">
        <f>D225+E225</f>
        <v>49354.84</v>
      </c>
      <c r="G225" s="5" t="s">
        <v>3</v>
      </c>
      <c r="H225" s="5" t="s">
        <v>3</v>
      </c>
    </row>
    <row r="226" spans="1:8" x14ac:dyDescent="0.25">
      <c r="A226" s="5" t="s">
        <v>3</v>
      </c>
      <c r="B226" s="5" t="s">
        <v>3</v>
      </c>
      <c r="C226" s="5" t="s">
        <v>681</v>
      </c>
      <c r="D226" s="6">
        <v>44937.2</v>
      </c>
      <c r="E226" s="6">
        <v>0</v>
      </c>
      <c r="F226" s="6">
        <f>D226+E226</f>
        <v>44937.2</v>
      </c>
      <c r="G226" s="5" t="s">
        <v>3</v>
      </c>
      <c r="H226" s="5" t="s">
        <v>682</v>
      </c>
    </row>
    <row r="227" spans="1:8" x14ac:dyDescent="0.25">
      <c r="A227" s="5" t="s">
        <v>3</v>
      </c>
      <c r="B227" s="5" t="s">
        <v>3</v>
      </c>
      <c r="C227" s="5" t="s">
        <v>683</v>
      </c>
      <c r="D227" s="6">
        <v>44937.2</v>
      </c>
      <c r="E227" s="6">
        <v>0</v>
      </c>
      <c r="F227" s="6">
        <f>D227+E227</f>
        <v>44937.2</v>
      </c>
      <c r="G227" s="5" t="s">
        <v>3</v>
      </c>
      <c r="H227" s="5" t="s">
        <v>682</v>
      </c>
    </row>
    <row r="228" spans="1:8" x14ac:dyDescent="0.25">
      <c r="A228" s="5" t="s">
        <v>3</v>
      </c>
      <c r="B228" s="5" t="s">
        <v>3</v>
      </c>
      <c r="C228" s="5" t="s">
        <v>684</v>
      </c>
      <c r="D228" s="6">
        <v>44610</v>
      </c>
      <c r="E228" s="6">
        <v>0</v>
      </c>
      <c r="F228" s="6">
        <f>D228+E228</f>
        <v>44610</v>
      </c>
      <c r="G228" s="5" t="s">
        <v>3</v>
      </c>
      <c r="H228" s="5" t="s">
        <v>3</v>
      </c>
    </row>
    <row r="229" spans="1:8" x14ac:dyDescent="0.25">
      <c r="A229" s="5" t="s">
        <v>3</v>
      </c>
      <c r="B229" s="5" t="s">
        <v>3</v>
      </c>
      <c r="C229" s="5" t="s">
        <v>273</v>
      </c>
      <c r="D229" s="6">
        <v>36036</v>
      </c>
      <c r="E229" s="6">
        <v>0</v>
      </c>
      <c r="F229" s="6">
        <f>D229+E229</f>
        <v>36036</v>
      </c>
      <c r="G229" s="5" t="s">
        <v>3</v>
      </c>
      <c r="H229" s="5" t="s">
        <v>3</v>
      </c>
    </row>
    <row r="230" spans="1:8" x14ac:dyDescent="0.25">
      <c r="A230" s="5" t="s">
        <v>3</v>
      </c>
      <c r="B230" s="5" t="s">
        <v>3</v>
      </c>
      <c r="C230" s="5" t="s">
        <v>136</v>
      </c>
      <c r="D230" s="6">
        <v>33250</v>
      </c>
      <c r="E230" s="6">
        <v>0</v>
      </c>
      <c r="F230" s="6">
        <f>D230+E230</f>
        <v>33250</v>
      </c>
      <c r="G230" s="5" t="s">
        <v>3</v>
      </c>
      <c r="H230" s="5" t="s">
        <v>685</v>
      </c>
    </row>
    <row r="231" spans="1:8" x14ac:dyDescent="0.25">
      <c r="A231" s="5" t="s">
        <v>3</v>
      </c>
      <c r="B231" s="5" t="s">
        <v>3</v>
      </c>
      <c r="C231" s="5" t="s">
        <v>686</v>
      </c>
      <c r="D231" s="6">
        <v>31424.11</v>
      </c>
      <c r="E231" s="6">
        <v>0</v>
      </c>
      <c r="F231" s="6">
        <f>D231+E231</f>
        <v>31424.11</v>
      </c>
      <c r="G231" s="5" t="s">
        <v>3</v>
      </c>
      <c r="H231" s="5" t="s">
        <v>687</v>
      </c>
    </row>
    <row r="232" spans="1:8" x14ac:dyDescent="0.25">
      <c r="A232" s="5" t="s">
        <v>3</v>
      </c>
      <c r="B232" s="5" t="s">
        <v>3</v>
      </c>
      <c r="C232" s="5" t="s">
        <v>140</v>
      </c>
      <c r="D232" s="6">
        <v>29850.56</v>
      </c>
      <c r="E232" s="6">
        <v>0</v>
      </c>
      <c r="F232" s="6">
        <f>D232+E232</f>
        <v>29850.56</v>
      </c>
      <c r="G232" s="5" t="s">
        <v>3</v>
      </c>
      <c r="H232" s="5" t="s">
        <v>688</v>
      </c>
    </row>
    <row r="233" spans="1:8" x14ac:dyDescent="0.25">
      <c r="A233" s="5" t="s">
        <v>3</v>
      </c>
      <c r="B233" s="5" t="s">
        <v>3</v>
      </c>
      <c r="C233" s="5" t="s">
        <v>218</v>
      </c>
      <c r="D233" s="6">
        <v>27575.1</v>
      </c>
      <c r="E233" s="6">
        <v>0</v>
      </c>
      <c r="F233" s="6">
        <f>D233+E233</f>
        <v>27575.1</v>
      </c>
      <c r="G233" s="5" t="s">
        <v>3</v>
      </c>
      <c r="H233" s="5" t="s">
        <v>689</v>
      </c>
    </row>
    <row r="234" spans="1:8" x14ac:dyDescent="0.25">
      <c r="A234" s="5" t="s">
        <v>3</v>
      </c>
      <c r="B234" s="5" t="s">
        <v>3</v>
      </c>
      <c r="C234" s="5" t="s">
        <v>128</v>
      </c>
      <c r="D234" s="6">
        <v>26000</v>
      </c>
      <c r="E234" s="6">
        <v>0</v>
      </c>
      <c r="F234" s="6">
        <f>D234+E234</f>
        <v>26000</v>
      </c>
      <c r="G234" s="5" t="s">
        <v>3</v>
      </c>
      <c r="H234" s="5" t="s">
        <v>3</v>
      </c>
    </row>
    <row r="235" spans="1:8" x14ac:dyDescent="0.25">
      <c r="A235" s="5" t="s">
        <v>3</v>
      </c>
      <c r="B235" s="5" t="s">
        <v>3</v>
      </c>
      <c r="C235" s="5" t="s">
        <v>690</v>
      </c>
      <c r="D235" s="6">
        <v>20426</v>
      </c>
      <c r="E235" s="6">
        <v>0</v>
      </c>
      <c r="F235" s="6">
        <f>D235+E235</f>
        <v>20426</v>
      </c>
      <c r="G235" s="5" t="s">
        <v>3</v>
      </c>
      <c r="H235" s="5" t="s">
        <v>673</v>
      </c>
    </row>
    <row r="236" spans="1:8" x14ac:dyDescent="0.25">
      <c r="A236" s="5" t="s">
        <v>3</v>
      </c>
      <c r="B236" s="5" t="s">
        <v>3</v>
      </c>
      <c r="C236" s="5" t="s">
        <v>691</v>
      </c>
      <c r="D236" s="6">
        <v>20000</v>
      </c>
      <c r="E236" s="6">
        <v>0</v>
      </c>
      <c r="F236" s="6">
        <f>D236+E236</f>
        <v>20000</v>
      </c>
      <c r="G236" s="5" t="s">
        <v>3</v>
      </c>
      <c r="H236" s="5" t="s">
        <v>3</v>
      </c>
    </row>
    <row r="237" spans="1:8" x14ac:dyDescent="0.25">
      <c r="A237" s="5" t="s">
        <v>3</v>
      </c>
      <c r="B237" s="5" t="s">
        <v>3</v>
      </c>
      <c r="C237" s="5" t="s">
        <v>126</v>
      </c>
      <c r="D237" s="6">
        <v>19354.84</v>
      </c>
      <c r="E237" s="6">
        <v>0</v>
      </c>
      <c r="F237" s="6">
        <f>D237+E237</f>
        <v>19354.84</v>
      </c>
      <c r="G237" s="5" t="s">
        <v>3</v>
      </c>
      <c r="H237" s="5" t="s">
        <v>3</v>
      </c>
    </row>
    <row r="238" spans="1:8" x14ac:dyDescent="0.25">
      <c r="A238" s="5" t="s">
        <v>3</v>
      </c>
      <c r="B238" s="5" t="s">
        <v>3</v>
      </c>
      <c r="C238" s="5" t="s">
        <v>692</v>
      </c>
      <c r="D238" s="6">
        <v>18333.33</v>
      </c>
      <c r="E238" s="6">
        <v>0</v>
      </c>
      <c r="F238" s="6">
        <f>D238+E238</f>
        <v>18333.33</v>
      </c>
      <c r="G238" s="5" t="s">
        <v>3</v>
      </c>
      <c r="H238" s="5" t="s">
        <v>693</v>
      </c>
    </row>
    <row r="239" spans="1:8" x14ac:dyDescent="0.25">
      <c r="A239" s="5" t="s">
        <v>3</v>
      </c>
      <c r="B239" s="5" t="s">
        <v>3</v>
      </c>
      <c r="C239" s="5" t="s">
        <v>694</v>
      </c>
      <c r="D239" s="6">
        <v>16500</v>
      </c>
      <c r="E239" s="6">
        <v>0</v>
      </c>
      <c r="F239" s="6">
        <f>D239+E239</f>
        <v>16500</v>
      </c>
      <c r="G239" s="5" t="s">
        <v>3</v>
      </c>
      <c r="H239" s="5" t="s">
        <v>529</v>
      </c>
    </row>
    <row r="240" spans="1:8" x14ac:dyDescent="0.25">
      <c r="A240" s="5" t="s">
        <v>3</v>
      </c>
      <c r="B240" s="5" t="s">
        <v>3</v>
      </c>
      <c r="C240" s="5" t="s">
        <v>695</v>
      </c>
      <c r="D240" s="6">
        <v>16500</v>
      </c>
      <c r="E240" s="6">
        <v>0</v>
      </c>
      <c r="F240" s="6">
        <f>D240+E240</f>
        <v>16500</v>
      </c>
      <c r="G240" s="5" t="s">
        <v>3</v>
      </c>
      <c r="H240" s="5" t="s">
        <v>574</v>
      </c>
    </row>
    <row r="241" spans="1:8" x14ac:dyDescent="0.25">
      <c r="A241" s="5" t="s">
        <v>3</v>
      </c>
      <c r="B241" s="5" t="s">
        <v>3</v>
      </c>
      <c r="C241" s="5" t="s">
        <v>696</v>
      </c>
      <c r="D241" s="6">
        <v>16069.12</v>
      </c>
      <c r="E241" s="6">
        <v>0</v>
      </c>
      <c r="F241" s="6">
        <f>D241+E241</f>
        <v>16069.12</v>
      </c>
      <c r="G241" s="5" t="s">
        <v>3</v>
      </c>
      <c r="H241" s="5" t="s">
        <v>697</v>
      </c>
    </row>
    <row r="242" spans="1:8" x14ac:dyDescent="0.25">
      <c r="A242" s="5" t="s">
        <v>3</v>
      </c>
      <c r="B242" s="5" t="s">
        <v>3</v>
      </c>
      <c r="C242" s="5" t="s">
        <v>698</v>
      </c>
      <c r="D242" s="6">
        <v>15625</v>
      </c>
      <c r="E242" s="6">
        <v>0</v>
      </c>
      <c r="F242" s="6">
        <f>D242+E242</f>
        <v>15625</v>
      </c>
      <c r="G242" s="5" t="s">
        <v>3</v>
      </c>
      <c r="H242" s="5" t="s">
        <v>699</v>
      </c>
    </row>
    <row r="243" spans="1:8" x14ac:dyDescent="0.25">
      <c r="A243" s="5" t="s">
        <v>3</v>
      </c>
      <c r="B243" s="5" t="s">
        <v>3</v>
      </c>
      <c r="C243" s="5" t="s">
        <v>700</v>
      </c>
      <c r="D243" s="6">
        <v>14250</v>
      </c>
      <c r="E243" s="6">
        <v>0</v>
      </c>
      <c r="F243" s="6">
        <f>D243+E243</f>
        <v>14250</v>
      </c>
      <c r="G243" s="5" t="s">
        <v>3</v>
      </c>
      <c r="H243" s="5" t="s">
        <v>701</v>
      </c>
    </row>
    <row r="244" spans="1:8" x14ac:dyDescent="0.25">
      <c r="A244" s="5" t="s">
        <v>3</v>
      </c>
      <c r="B244" s="5" t="s">
        <v>3</v>
      </c>
      <c r="C244" s="5" t="s">
        <v>702</v>
      </c>
      <c r="D244" s="6">
        <v>14000</v>
      </c>
      <c r="E244" s="6">
        <v>0</v>
      </c>
      <c r="F244" s="6">
        <f>D244+E244</f>
        <v>14000</v>
      </c>
      <c r="G244" s="5" t="s">
        <v>3</v>
      </c>
      <c r="H244" s="5" t="s">
        <v>517</v>
      </c>
    </row>
    <row r="245" spans="1:8" x14ac:dyDescent="0.25">
      <c r="A245" s="5" t="s">
        <v>3</v>
      </c>
      <c r="B245" s="5" t="s">
        <v>3</v>
      </c>
      <c r="C245" s="5" t="s">
        <v>197</v>
      </c>
      <c r="D245" s="6">
        <v>13500</v>
      </c>
      <c r="E245" s="6">
        <v>0</v>
      </c>
      <c r="F245" s="6">
        <f>D245+E245</f>
        <v>13500</v>
      </c>
      <c r="G245" s="5" t="s">
        <v>3</v>
      </c>
      <c r="H245" s="5" t="s">
        <v>3</v>
      </c>
    </row>
    <row r="246" spans="1:8" x14ac:dyDescent="0.25">
      <c r="A246" s="5" t="s">
        <v>3</v>
      </c>
      <c r="B246" s="5" t="s">
        <v>3</v>
      </c>
      <c r="C246" s="5" t="s">
        <v>703</v>
      </c>
      <c r="D246" s="6">
        <v>13166.4</v>
      </c>
      <c r="E246" s="6">
        <v>0</v>
      </c>
      <c r="F246" s="6">
        <f>D246+E246</f>
        <v>13166.4</v>
      </c>
      <c r="G246" s="5" t="s">
        <v>3</v>
      </c>
      <c r="H246" s="5" t="s">
        <v>704</v>
      </c>
    </row>
    <row r="247" spans="1:8" x14ac:dyDescent="0.25">
      <c r="A247" s="5" t="s">
        <v>3</v>
      </c>
      <c r="B247" s="5" t="s">
        <v>3</v>
      </c>
      <c r="C247" s="5" t="s">
        <v>225</v>
      </c>
      <c r="D247" s="6">
        <v>12117.72</v>
      </c>
      <c r="E247" s="6">
        <v>0</v>
      </c>
      <c r="F247" s="6">
        <f>D247+E247</f>
        <v>12117.72</v>
      </c>
      <c r="G247" s="5" t="s">
        <v>3</v>
      </c>
      <c r="H247" s="5" t="s">
        <v>705</v>
      </c>
    </row>
    <row r="248" spans="1:8" x14ac:dyDescent="0.25">
      <c r="A248" s="5" t="s">
        <v>3</v>
      </c>
      <c r="B248" s="5" t="s">
        <v>3</v>
      </c>
      <c r="C248" s="5" t="s">
        <v>706</v>
      </c>
      <c r="D248" s="6">
        <v>12000</v>
      </c>
      <c r="E248" s="6">
        <v>0</v>
      </c>
      <c r="F248" s="6">
        <f>D248+E248</f>
        <v>12000</v>
      </c>
      <c r="G248" s="5" t="s">
        <v>3</v>
      </c>
      <c r="H248" s="5" t="s">
        <v>529</v>
      </c>
    </row>
    <row r="249" spans="1:8" x14ac:dyDescent="0.25">
      <c r="A249" s="5" t="s">
        <v>3</v>
      </c>
      <c r="B249" s="5" t="s">
        <v>3</v>
      </c>
      <c r="C249" s="5" t="s">
        <v>220</v>
      </c>
      <c r="D249" s="6">
        <v>12000</v>
      </c>
      <c r="E249" s="6">
        <v>0</v>
      </c>
      <c r="F249" s="6">
        <f>D249+E249</f>
        <v>12000</v>
      </c>
      <c r="G249" s="5" t="s">
        <v>3</v>
      </c>
      <c r="H249" s="5" t="s">
        <v>707</v>
      </c>
    </row>
    <row r="250" spans="1:8" x14ac:dyDescent="0.25">
      <c r="A250" s="5" t="s">
        <v>3</v>
      </c>
      <c r="B250" s="5" t="s">
        <v>3</v>
      </c>
      <c r="C250" s="5" t="s">
        <v>158</v>
      </c>
      <c r="D250" s="6">
        <v>11976.46</v>
      </c>
      <c r="E250" s="6">
        <v>0</v>
      </c>
      <c r="F250" s="6">
        <f>D250+E250</f>
        <v>11976.46</v>
      </c>
      <c r="G250" s="5" t="s">
        <v>3</v>
      </c>
      <c r="H250" s="5" t="s">
        <v>708</v>
      </c>
    </row>
    <row r="251" spans="1:8" x14ac:dyDescent="0.25">
      <c r="A251" s="5" t="s">
        <v>3</v>
      </c>
      <c r="B251" s="5" t="s">
        <v>3</v>
      </c>
      <c r="C251" s="5" t="s">
        <v>227</v>
      </c>
      <c r="D251" s="6">
        <v>11796.02</v>
      </c>
      <c r="E251" s="6">
        <v>0</v>
      </c>
      <c r="F251" s="6">
        <f>D251+E251</f>
        <v>11796.02</v>
      </c>
      <c r="G251" s="5" t="s">
        <v>3</v>
      </c>
      <c r="H251" s="5" t="s">
        <v>709</v>
      </c>
    </row>
    <row r="252" spans="1:8" x14ac:dyDescent="0.25">
      <c r="A252" s="5" t="s">
        <v>3</v>
      </c>
      <c r="B252" s="5" t="s">
        <v>3</v>
      </c>
      <c r="C252" s="5" t="s">
        <v>290</v>
      </c>
      <c r="D252" s="6">
        <v>11120.83</v>
      </c>
      <c r="E252" s="6">
        <v>0</v>
      </c>
      <c r="F252" s="6">
        <f>D252+E252</f>
        <v>11120.83</v>
      </c>
      <c r="G252" s="5" t="s">
        <v>3</v>
      </c>
      <c r="H252" s="5" t="s">
        <v>710</v>
      </c>
    </row>
    <row r="253" spans="1:8" x14ac:dyDescent="0.25">
      <c r="A253" s="5" t="s">
        <v>3</v>
      </c>
      <c r="B253" s="5" t="s">
        <v>3</v>
      </c>
      <c r="C253" s="5" t="s">
        <v>711</v>
      </c>
      <c r="D253" s="6">
        <v>11000</v>
      </c>
      <c r="E253" s="6">
        <v>0</v>
      </c>
      <c r="F253" s="6">
        <f>D253+E253</f>
        <v>11000</v>
      </c>
      <c r="G253" s="5" t="s">
        <v>3</v>
      </c>
      <c r="H253" s="5" t="s">
        <v>3</v>
      </c>
    </row>
    <row r="254" spans="1:8" x14ac:dyDescent="0.25">
      <c r="A254" s="5" t="s">
        <v>3</v>
      </c>
      <c r="B254" s="5" t="s">
        <v>3</v>
      </c>
      <c r="C254" s="5" t="s">
        <v>712</v>
      </c>
      <c r="D254" s="6">
        <v>10833.33</v>
      </c>
      <c r="E254" s="6">
        <v>0</v>
      </c>
      <c r="F254" s="6">
        <f>D254+E254</f>
        <v>10833.33</v>
      </c>
      <c r="G254" s="5" t="s">
        <v>3</v>
      </c>
      <c r="H254" s="5" t="s">
        <v>713</v>
      </c>
    </row>
    <row r="255" spans="1:8" x14ac:dyDescent="0.25">
      <c r="A255" s="5" t="s">
        <v>3</v>
      </c>
      <c r="B255" s="5" t="s">
        <v>3</v>
      </c>
      <c r="C255" s="5" t="s">
        <v>714</v>
      </c>
      <c r="D255" s="6">
        <v>10430.03</v>
      </c>
      <c r="E255" s="6">
        <v>0</v>
      </c>
      <c r="F255" s="6">
        <f>D255+E255</f>
        <v>10430.03</v>
      </c>
      <c r="G255" s="5" t="s">
        <v>3</v>
      </c>
      <c r="H255" s="5" t="s">
        <v>715</v>
      </c>
    </row>
    <row r="256" spans="1:8" x14ac:dyDescent="0.25">
      <c r="A256" s="5" t="s">
        <v>3</v>
      </c>
      <c r="B256" s="5" t="s">
        <v>3</v>
      </c>
      <c r="C256" s="5" t="s">
        <v>716</v>
      </c>
      <c r="D256" s="6">
        <v>10252.5</v>
      </c>
      <c r="E256" s="6">
        <v>0</v>
      </c>
      <c r="F256" s="6">
        <f>D256+E256</f>
        <v>10252.5</v>
      </c>
      <c r="G256" s="5" t="s">
        <v>3</v>
      </c>
      <c r="H256" s="5" t="s">
        <v>717</v>
      </c>
    </row>
    <row r="257" spans="1:8" x14ac:dyDescent="0.25">
      <c r="A257" s="5" t="s">
        <v>3</v>
      </c>
      <c r="B257" s="5" t="s">
        <v>3</v>
      </c>
      <c r="C257" s="5" t="s">
        <v>718</v>
      </c>
      <c r="D257" s="6">
        <v>10000</v>
      </c>
      <c r="E257" s="6">
        <v>0</v>
      </c>
      <c r="F257" s="6">
        <f>D257+E257</f>
        <v>10000</v>
      </c>
      <c r="G257" s="5" t="s">
        <v>3</v>
      </c>
      <c r="H257" s="5" t="s">
        <v>719</v>
      </c>
    </row>
    <row r="258" spans="1:8" x14ac:dyDescent="0.25">
      <c r="A258" s="5" t="s">
        <v>3</v>
      </c>
      <c r="B258" s="5" t="s">
        <v>3</v>
      </c>
      <c r="C258" s="5" t="s">
        <v>720</v>
      </c>
      <c r="D258" s="6">
        <v>10000</v>
      </c>
      <c r="E258" s="6">
        <v>0</v>
      </c>
      <c r="F258" s="6">
        <f>D258+E258</f>
        <v>10000</v>
      </c>
      <c r="G258" s="5" t="s">
        <v>3</v>
      </c>
      <c r="H258" s="5" t="s">
        <v>3</v>
      </c>
    </row>
    <row r="259" spans="1:8" x14ac:dyDescent="0.25">
      <c r="A259" s="5" t="s">
        <v>3</v>
      </c>
      <c r="B259" s="5" t="s">
        <v>3</v>
      </c>
      <c r="C259" s="5" t="s">
        <v>721</v>
      </c>
      <c r="D259" s="6">
        <v>10000</v>
      </c>
      <c r="E259" s="6">
        <v>0</v>
      </c>
      <c r="F259" s="6">
        <f>D259+E259</f>
        <v>10000</v>
      </c>
      <c r="G259" s="5" t="s">
        <v>3</v>
      </c>
      <c r="H259" s="5" t="s">
        <v>3</v>
      </c>
    </row>
    <row r="260" spans="1:8" x14ac:dyDescent="0.25">
      <c r="A260" s="5" t="s">
        <v>3</v>
      </c>
      <c r="B260" s="5" t="s">
        <v>3</v>
      </c>
      <c r="C260" s="5" t="s">
        <v>308</v>
      </c>
      <c r="D260" s="6">
        <v>10000</v>
      </c>
      <c r="E260" s="6">
        <v>0</v>
      </c>
      <c r="F260" s="6">
        <f>D260+E260</f>
        <v>10000</v>
      </c>
      <c r="G260" s="5" t="s">
        <v>3</v>
      </c>
      <c r="H260" s="5" t="s">
        <v>3</v>
      </c>
    </row>
    <row r="261" spans="1:8" x14ac:dyDescent="0.25">
      <c r="A261" s="5" t="s">
        <v>3</v>
      </c>
      <c r="B261" s="5" t="s">
        <v>3</v>
      </c>
      <c r="C261" s="5" t="s">
        <v>229</v>
      </c>
      <c r="D261" s="6">
        <v>9886.18</v>
      </c>
      <c r="E261" s="6">
        <v>0</v>
      </c>
      <c r="F261" s="6">
        <f>D261+E261</f>
        <v>9886.18</v>
      </c>
      <c r="G261" s="5" t="s">
        <v>3</v>
      </c>
      <c r="H261" s="5" t="s">
        <v>722</v>
      </c>
    </row>
    <row r="262" spans="1:8" x14ac:dyDescent="0.25">
      <c r="A262" s="5" t="s">
        <v>3</v>
      </c>
      <c r="B262" s="5" t="s">
        <v>3</v>
      </c>
      <c r="C262" s="5" t="s">
        <v>280</v>
      </c>
      <c r="D262" s="6">
        <v>8500</v>
      </c>
      <c r="E262" s="6">
        <v>0</v>
      </c>
      <c r="F262" s="6">
        <f>D262+E262</f>
        <v>8500</v>
      </c>
      <c r="G262" s="5" t="s">
        <v>3</v>
      </c>
      <c r="H262" s="5" t="s">
        <v>3</v>
      </c>
    </row>
    <row r="263" spans="1:8" x14ac:dyDescent="0.25">
      <c r="A263" s="5" t="s">
        <v>3</v>
      </c>
      <c r="B263" s="5" t="s">
        <v>3</v>
      </c>
      <c r="C263" s="5" t="s">
        <v>723</v>
      </c>
      <c r="D263" s="6">
        <v>8266.29</v>
      </c>
      <c r="E263" s="6">
        <v>0</v>
      </c>
      <c r="F263" s="6">
        <f>D263+E263</f>
        <v>8266.29</v>
      </c>
      <c r="G263" s="5" t="s">
        <v>3</v>
      </c>
      <c r="H263" s="5" t="s">
        <v>724</v>
      </c>
    </row>
    <row r="264" spans="1:8" x14ac:dyDescent="0.25">
      <c r="A264" s="5" t="s">
        <v>3</v>
      </c>
      <c r="B264" s="5" t="s">
        <v>3</v>
      </c>
      <c r="C264" s="5" t="s">
        <v>725</v>
      </c>
      <c r="D264" s="6">
        <v>7149.1</v>
      </c>
      <c r="E264" s="6">
        <v>0</v>
      </c>
      <c r="F264" s="6">
        <f>D264+E264</f>
        <v>7149.1</v>
      </c>
      <c r="G264" s="5" t="s">
        <v>3</v>
      </c>
      <c r="H264" s="5" t="s">
        <v>726</v>
      </c>
    </row>
    <row r="265" spans="1:8" x14ac:dyDescent="0.25">
      <c r="A265" s="5" t="s">
        <v>3</v>
      </c>
      <c r="B265" s="5" t="s">
        <v>3</v>
      </c>
      <c r="C265" s="5" t="s">
        <v>727</v>
      </c>
      <c r="D265" s="6">
        <v>7120.45</v>
      </c>
      <c r="E265" s="6">
        <v>0</v>
      </c>
      <c r="F265" s="6">
        <f>D265+E265</f>
        <v>7120.45</v>
      </c>
      <c r="G265" s="5" t="s">
        <v>3</v>
      </c>
      <c r="H265" s="5" t="s">
        <v>728</v>
      </c>
    </row>
    <row r="266" spans="1:8" x14ac:dyDescent="0.25">
      <c r="A266" s="5" t="s">
        <v>3</v>
      </c>
      <c r="B266" s="5" t="s">
        <v>3</v>
      </c>
      <c r="C266" s="5" t="s">
        <v>729</v>
      </c>
      <c r="D266" s="6">
        <v>6127.8</v>
      </c>
      <c r="E266" s="6">
        <v>0</v>
      </c>
      <c r="F266" s="6">
        <f>D266+E266</f>
        <v>6127.8</v>
      </c>
      <c r="G266" s="5" t="s">
        <v>3</v>
      </c>
      <c r="H266" s="5" t="s">
        <v>529</v>
      </c>
    </row>
    <row r="267" spans="1:8" x14ac:dyDescent="0.25">
      <c r="A267" s="5" t="s">
        <v>3</v>
      </c>
      <c r="B267" s="5" t="s">
        <v>3</v>
      </c>
      <c r="C267" s="5" t="s">
        <v>730</v>
      </c>
      <c r="D267" s="6">
        <v>6125</v>
      </c>
      <c r="E267" s="6">
        <v>0</v>
      </c>
      <c r="F267" s="6">
        <f>D267+E267</f>
        <v>6125</v>
      </c>
      <c r="G267" s="5" t="s">
        <v>3</v>
      </c>
      <c r="H267" s="5" t="s">
        <v>731</v>
      </c>
    </row>
    <row r="268" spans="1:8" x14ac:dyDescent="0.25">
      <c r="A268" s="5" t="s">
        <v>3</v>
      </c>
      <c r="B268" s="5" t="s">
        <v>3</v>
      </c>
      <c r="C268" s="5" t="s">
        <v>732</v>
      </c>
      <c r="D268" s="6">
        <v>4000</v>
      </c>
      <c r="E268" s="6">
        <v>0</v>
      </c>
      <c r="F268" s="6">
        <f>D268+E268</f>
        <v>4000</v>
      </c>
      <c r="G268" s="5" t="s">
        <v>3</v>
      </c>
      <c r="H268" s="5" t="s">
        <v>3</v>
      </c>
    </row>
    <row r="269" spans="1:8" x14ac:dyDescent="0.25">
      <c r="A269" s="5" t="s">
        <v>3</v>
      </c>
      <c r="B269" s="5" t="s">
        <v>3</v>
      </c>
      <c r="C269" s="5" t="s">
        <v>733</v>
      </c>
      <c r="D269" s="6">
        <v>3000</v>
      </c>
      <c r="E269" s="6">
        <v>0</v>
      </c>
      <c r="F269" s="6">
        <f>D269+E269</f>
        <v>3000</v>
      </c>
      <c r="G269" s="5" t="s">
        <v>3</v>
      </c>
      <c r="H269" s="5" t="s">
        <v>529</v>
      </c>
    </row>
    <row r="270" spans="1:8" x14ac:dyDescent="0.25">
      <c r="A270" s="5" t="s">
        <v>3</v>
      </c>
      <c r="B270" s="5" t="s">
        <v>3</v>
      </c>
      <c r="C270" s="5" t="s">
        <v>734</v>
      </c>
      <c r="D270" s="6">
        <v>2500</v>
      </c>
      <c r="E270" s="6">
        <v>0</v>
      </c>
      <c r="F270" s="6">
        <f>D270+E270</f>
        <v>2500</v>
      </c>
      <c r="G270" s="5" t="s">
        <v>3</v>
      </c>
      <c r="H270" s="5" t="s">
        <v>719</v>
      </c>
    </row>
    <row r="271" spans="1:8" x14ac:dyDescent="0.25">
      <c r="A271" s="5" t="s">
        <v>3</v>
      </c>
      <c r="B271" s="5" t="s">
        <v>3</v>
      </c>
      <c r="C271" s="5" t="s">
        <v>735</v>
      </c>
      <c r="D271" s="6">
        <v>2000</v>
      </c>
      <c r="E271" s="6">
        <v>0</v>
      </c>
      <c r="F271" s="6">
        <f>D271+E271</f>
        <v>2000</v>
      </c>
      <c r="G271" s="5" t="s">
        <v>3</v>
      </c>
      <c r="H271" s="5" t="s">
        <v>736</v>
      </c>
    </row>
    <row r="272" spans="1:8" x14ac:dyDescent="0.25">
      <c r="A272" s="5" t="s">
        <v>3</v>
      </c>
      <c r="B272" s="5" t="s">
        <v>3</v>
      </c>
      <c r="C272" s="5" t="s">
        <v>737</v>
      </c>
      <c r="D272" s="6">
        <v>950</v>
      </c>
      <c r="E272" s="6">
        <v>0</v>
      </c>
      <c r="F272" s="6">
        <f>D272+E272</f>
        <v>950</v>
      </c>
      <c r="G272" s="5" t="s">
        <v>3</v>
      </c>
      <c r="H272" s="5" t="s">
        <v>3</v>
      </c>
    </row>
    <row r="273" spans="1:8" x14ac:dyDescent="0.25">
      <c r="A273" s="5" t="s">
        <v>3</v>
      </c>
      <c r="B273" s="5" t="s">
        <v>3</v>
      </c>
      <c r="C273" s="5" t="s">
        <v>738</v>
      </c>
      <c r="D273" s="6">
        <v>887.1</v>
      </c>
      <c r="E273" s="6">
        <v>0</v>
      </c>
      <c r="F273" s="6">
        <f>D273+E273</f>
        <v>887.1</v>
      </c>
      <c r="G273" s="5" t="s">
        <v>3</v>
      </c>
      <c r="H273" s="5" t="s">
        <v>3</v>
      </c>
    </row>
    <row r="274" spans="1:8" x14ac:dyDescent="0.25">
      <c r="A274" s="5" t="s">
        <v>3</v>
      </c>
      <c r="B274" s="5" t="s">
        <v>3</v>
      </c>
      <c r="C274" s="5" t="s">
        <v>739</v>
      </c>
      <c r="D274" s="6">
        <v>651</v>
      </c>
      <c r="E274" s="6">
        <v>0</v>
      </c>
      <c r="F274" s="6">
        <f>D274+E274</f>
        <v>651</v>
      </c>
      <c r="G274" s="5" t="s">
        <v>3</v>
      </c>
      <c r="H274" s="5" t="s">
        <v>3</v>
      </c>
    </row>
    <row r="275" spans="1:8" x14ac:dyDescent="0.25">
      <c r="A275" s="5" t="s">
        <v>3</v>
      </c>
      <c r="B275" s="5" t="s">
        <v>3</v>
      </c>
      <c r="C275" s="5" t="s">
        <v>740</v>
      </c>
      <c r="D275" s="6">
        <v>576</v>
      </c>
      <c r="E275" s="6">
        <v>0</v>
      </c>
      <c r="F275" s="6">
        <f>D275+E275</f>
        <v>576</v>
      </c>
      <c r="G275" s="5" t="s">
        <v>3</v>
      </c>
      <c r="H275" s="5" t="s">
        <v>3</v>
      </c>
    </row>
    <row r="276" spans="1:8" x14ac:dyDescent="0.25">
      <c r="A276" s="5" t="s">
        <v>3</v>
      </c>
      <c r="B276" s="5" t="s">
        <v>3</v>
      </c>
      <c r="C276" s="5" t="s">
        <v>741</v>
      </c>
      <c r="D276" s="6">
        <v>358.3</v>
      </c>
      <c r="E276" s="6">
        <v>0</v>
      </c>
      <c r="F276" s="6">
        <f>D276+E276</f>
        <v>358.3</v>
      </c>
      <c r="G276" s="5" t="s">
        <v>3</v>
      </c>
      <c r="H276" s="5" t="s">
        <v>3</v>
      </c>
    </row>
    <row r="277" spans="1:8" x14ac:dyDescent="0.25">
      <c r="A277" s="5" t="s">
        <v>3</v>
      </c>
      <c r="B277" s="5" t="s">
        <v>3</v>
      </c>
      <c r="C277" s="5" t="s">
        <v>742</v>
      </c>
      <c r="D277" s="6">
        <v>164.85</v>
      </c>
      <c r="E277" s="6">
        <v>0</v>
      </c>
      <c r="F277" s="6">
        <f>D277+E277</f>
        <v>164.85</v>
      </c>
      <c r="G277" s="5" t="s">
        <v>3</v>
      </c>
      <c r="H277" s="5" t="s">
        <v>3</v>
      </c>
    </row>
    <row r="278" spans="1:8" x14ac:dyDescent="0.25">
      <c r="A278" s="5" t="s">
        <v>3</v>
      </c>
      <c r="B278" s="5" t="s">
        <v>3</v>
      </c>
      <c r="C278" s="5" t="s">
        <v>743</v>
      </c>
      <c r="D278" s="6">
        <v>89</v>
      </c>
      <c r="E278" s="6">
        <v>0</v>
      </c>
      <c r="F278" s="6">
        <f>D278+E278</f>
        <v>89</v>
      </c>
      <c r="G278" s="5" t="s">
        <v>3</v>
      </c>
      <c r="H278" s="5" t="s">
        <v>3</v>
      </c>
    </row>
    <row r="279" spans="1:8" x14ac:dyDescent="0.25">
      <c r="A279" s="5" t="s">
        <v>3</v>
      </c>
      <c r="B279" s="5" t="s">
        <v>3</v>
      </c>
      <c r="C279" s="5" t="s">
        <v>744</v>
      </c>
      <c r="D279" s="6">
        <v>35.9</v>
      </c>
      <c r="E279" s="6">
        <v>0</v>
      </c>
      <c r="F279" s="6">
        <f>D279+E279</f>
        <v>35.9</v>
      </c>
      <c r="G279" s="5" t="s">
        <v>3</v>
      </c>
      <c r="H279" s="5" t="s">
        <v>3</v>
      </c>
    </row>
    <row r="280" spans="1:8" x14ac:dyDescent="0.25">
      <c r="A280" s="24" t="s">
        <v>460</v>
      </c>
      <c r="B280" s="24" t="s">
        <v>461</v>
      </c>
      <c r="C280" s="24" t="s">
        <v>499</v>
      </c>
      <c r="D280" s="27">
        <f>SUM(D281:D282)</f>
        <v>26951.61</v>
      </c>
      <c r="E280" s="27">
        <f>SUM(E281:E282)</f>
        <v>0</v>
      </c>
      <c r="F280" s="27">
        <f>SUM(F281:F282)</f>
        <v>26951.61</v>
      </c>
      <c r="G280" s="24" t="s">
        <v>3</v>
      </c>
      <c r="H280" s="24" t="s">
        <v>3</v>
      </c>
    </row>
    <row r="281" spans="1:8" x14ac:dyDescent="0.25">
      <c r="A281" s="5" t="s">
        <v>3</v>
      </c>
      <c r="B281" s="5" t="s">
        <v>3</v>
      </c>
      <c r="C281" s="5" t="s">
        <v>745</v>
      </c>
      <c r="D281" s="6">
        <v>23951.61</v>
      </c>
      <c r="E281" s="6">
        <v>0</v>
      </c>
      <c r="F281" s="6">
        <f>D281+E281</f>
        <v>23951.61</v>
      </c>
      <c r="G281" s="5" t="s">
        <v>3</v>
      </c>
      <c r="H281" s="5" t="s">
        <v>3</v>
      </c>
    </row>
    <row r="282" spans="1:8" x14ac:dyDescent="0.25">
      <c r="A282" s="5" t="s">
        <v>3</v>
      </c>
      <c r="B282" s="5" t="s">
        <v>3</v>
      </c>
      <c r="C282" s="5" t="s">
        <v>746</v>
      </c>
      <c r="D282" s="6">
        <v>3000</v>
      </c>
      <c r="E282" s="6">
        <v>0</v>
      </c>
      <c r="F282" s="6">
        <f>D282+E282</f>
        <v>3000</v>
      </c>
      <c r="G282" s="5" t="s">
        <v>3</v>
      </c>
      <c r="H282" s="5" t="s">
        <v>3</v>
      </c>
    </row>
    <row r="283" spans="1:8" x14ac:dyDescent="0.25">
      <c r="A283" s="24" t="s">
        <v>462</v>
      </c>
      <c r="B283" s="24" t="s">
        <v>463</v>
      </c>
      <c r="C283" s="24" t="s">
        <v>499</v>
      </c>
      <c r="D283" s="27">
        <f>SUM(D284:D286)</f>
        <v>13800</v>
      </c>
      <c r="E283" s="27">
        <f>SUM(E284:E286)</f>
        <v>0</v>
      </c>
      <c r="F283" s="27">
        <f>SUM(F284:F286)</f>
        <v>13800</v>
      </c>
      <c r="G283" s="24" t="s">
        <v>3</v>
      </c>
      <c r="H283" s="24" t="s">
        <v>3</v>
      </c>
    </row>
    <row r="284" spans="1:8" x14ac:dyDescent="0.25">
      <c r="A284" s="5" t="s">
        <v>3</v>
      </c>
      <c r="B284" s="5" t="s">
        <v>3</v>
      </c>
      <c r="C284" s="5" t="s">
        <v>463</v>
      </c>
      <c r="D284" s="6">
        <v>9040</v>
      </c>
      <c r="E284" s="6">
        <v>0</v>
      </c>
      <c r="F284" s="6">
        <f>D284+E284</f>
        <v>9040</v>
      </c>
      <c r="G284" s="5" t="s">
        <v>3</v>
      </c>
      <c r="H284" s="5" t="s">
        <v>3</v>
      </c>
    </row>
    <row r="285" spans="1:8" x14ac:dyDescent="0.25">
      <c r="A285" s="5" t="s">
        <v>3</v>
      </c>
      <c r="B285" s="5" t="s">
        <v>3</v>
      </c>
      <c r="C285" s="5" t="s">
        <v>747</v>
      </c>
      <c r="D285" s="6">
        <v>2700</v>
      </c>
      <c r="E285" s="6">
        <v>0</v>
      </c>
      <c r="F285" s="6">
        <f>D285+E285</f>
        <v>2700</v>
      </c>
      <c r="G285" s="5" t="s">
        <v>3</v>
      </c>
      <c r="H285" s="5" t="s">
        <v>3</v>
      </c>
    </row>
    <row r="286" spans="1:8" x14ac:dyDescent="0.25">
      <c r="A286" s="5" t="s">
        <v>3</v>
      </c>
      <c r="B286" s="5" t="s">
        <v>3</v>
      </c>
      <c r="C286" s="5" t="s">
        <v>748</v>
      </c>
      <c r="D286" s="6">
        <v>2060</v>
      </c>
      <c r="E286" s="6">
        <v>0</v>
      </c>
      <c r="F286" s="6">
        <f>D286+E286</f>
        <v>2060</v>
      </c>
      <c r="G286" s="5" t="s">
        <v>3</v>
      </c>
      <c r="H286" s="5" t="s">
        <v>3</v>
      </c>
    </row>
    <row r="287" spans="1:8" x14ac:dyDescent="0.25">
      <c r="A287" s="24" t="s">
        <v>464</v>
      </c>
      <c r="B287" s="24" t="s">
        <v>465</v>
      </c>
      <c r="C287" s="24" t="s">
        <v>499</v>
      </c>
      <c r="D287" s="27">
        <f>SUM(D288:D288)</f>
        <v>27890.01</v>
      </c>
      <c r="E287" s="27">
        <f>SUM(E288:E288)</f>
        <v>0</v>
      </c>
      <c r="F287" s="27">
        <f>SUM(F288:F288)</f>
        <v>27890.01</v>
      </c>
      <c r="G287" s="24" t="s">
        <v>3</v>
      </c>
      <c r="H287" s="24" t="s">
        <v>3</v>
      </c>
    </row>
    <row r="288" spans="1:8" x14ac:dyDescent="0.25">
      <c r="A288" s="5" t="s">
        <v>3</v>
      </c>
      <c r="B288" s="5" t="s">
        <v>3</v>
      </c>
      <c r="C288" s="5" t="s">
        <v>146</v>
      </c>
      <c r="D288" s="6">
        <v>27890.01</v>
      </c>
      <c r="E288" s="6">
        <v>0</v>
      </c>
      <c r="F288" s="6">
        <f>D288+E288</f>
        <v>27890.01</v>
      </c>
      <c r="G288" s="5" t="s">
        <v>3</v>
      </c>
      <c r="H288" s="5" t="s">
        <v>3</v>
      </c>
    </row>
    <row r="289" spans="1:8" x14ac:dyDescent="0.25">
      <c r="A289" s="24" t="s">
        <v>470</v>
      </c>
      <c r="B289" s="24" t="s">
        <v>471</v>
      </c>
      <c r="C289" s="24" t="s">
        <v>499</v>
      </c>
      <c r="D289" s="27">
        <f>SUM(D290:D291)</f>
        <v>3594</v>
      </c>
      <c r="E289" s="27">
        <f>SUM(E290:E291)</f>
        <v>0</v>
      </c>
      <c r="F289" s="27">
        <f>SUM(F290:F291)</f>
        <v>3594</v>
      </c>
      <c r="G289" s="24" t="s">
        <v>3</v>
      </c>
      <c r="H289" s="24" t="s">
        <v>3</v>
      </c>
    </row>
    <row r="290" spans="1:8" x14ac:dyDescent="0.25">
      <c r="A290" s="5" t="s">
        <v>3</v>
      </c>
      <c r="B290" s="5" t="s">
        <v>3</v>
      </c>
      <c r="C290" s="5" t="s">
        <v>749</v>
      </c>
      <c r="D290" s="6">
        <v>1797</v>
      </c>
      <c r="E290" s="6">
        <v>0</v>
      </c>
      <c r="F290" s="6">
        <f>D290+E290</f>
        <v>1797</v>
      </c>
      <c r="G290" s="5" t="s">
        <v>3</v>
      </c>
      <c r="H290" s="5" t="s">
        <v>3</v>
      </c>
    </row>
    <row r="291" spans="1:8" x14ac:dyDescent="0.25">
      <c r="A291" s="5" t="s">
        <v>3</v>
      </c>
      <c r="B291" s="5" t="s">
        <v>3</v>
      </c>
      <c r="C291" s="5" t="s">
        <v>166</v>
      </c>
      <c r="D291" s="6">
        <v>1797</v>
      </c>
      <c r="E291" s="6">
        <v>0</v>
      </c>
      <c r="F291" s="6">
        <f>D291+E291</f>
        <v>1797</v>
      </c>
      <c r="G291" s="5" t="s">
        <v>3</v>
      </c>
      <c r="H291" s="5" t="s">
        <v>3</v>
      </c>
    </row>
    <row r="292" spans="1:8" x14ac:dyDescent="0.25">
      <c r="A292" s="24" t="s">
        <v>472</v>
      </c>
      <c r="B292" s="24" t="s">
        <v>473</v>
      </c>
      <c r="C292" s="24" t="s">
        <v>499</v>
      </c>
      <c r="D292" s="27">
        <f>SUM(D293:D295)</f>
        <v>2397.11</v>
      </c>
      <c r="E292" s="27">
        <f>SUM(E293:E295)</f>
        <v>0</v>
      </c>
      <c r="F292" s="27">
        <f>SUM(F293:F295)</f>
        <v>2397.11</v>
      </c>
      <c r="G292" s="24" t="s">
        <v>3</v>
      </c>
      <c r="H292" s="24" t="s">
        <v>3</v>
      </c>
    </row>
    <row r="293" spans="1:8" x14ac:dyDescent="0.25">
      <c r="A293" s="5" t="s">
        <v>3</v>
      </c>
      <c r="B293" s="5" t="s">
        <v>3</v>
      </c>
      <c r="C293" s="5" t="s">
        <v>750</v>
      </c>
      <c r="D293" s="6">
        <v>1467.01</v>
      </c>
      <c r="E293" s="6">
        <v>0</v>
      </c>
      <c r="F293" s="6">
        <f>D293+E293</f>
        <v>1467.01</v>
      </c>
      <c r="G293" s="5" t="s">
        <v>3</v>
      </c>
      <c r="H293" s="5" t="s">
        <v>3</v>
      </c>
    </row>
    <row r="294" spans="1:8" x14ac:dyDescent="0.25">
      <c r="A294" s="5" t="s">
        <v>3</v>
      </c>
      <c r="B294" s="5" t="s">
        <v>3</v>
      </c>
      <c r="C294" s="5" t="s">
        <v>626</v>
      </c>
      <c r="D294" s="6">
        <v>891.61</v>
      </c>
      <c r="E294" s="6">
        <v>0</v>
      </c>
      <c r="F294" s="6">
        <f>D294+E294</f>
        <v>891.61</v>
      </c>
      <c r="G294" s="5" t="s">
        <v>3</v>
      </c>
      <c r="H294" s="5" t="s">
        <v>3</v>
      </c>
    </row>
    <row r="295" spans="1:8" x14ac:dyDescent="0.25">
      <c r="A295" s="5" t="s">
        <v>3</v>
      </c>
      <c r="B295" s="5" t="s">
        <v>3</v>
      </c>
      <c r="C295" s="5" t="s">
        <v>751</v>
      </c>
      <c r="D295" s="6">
        <v>38.49</v>
      </c>
      <c r="E295" s="6">
        <v>0</v>
      </c>
      <c r="F295" s="6">
        <f>D295+E295</f>
        <v>38.49</v>
      </c>
      <c r="G295" s="5" t="s">
        <v>3</v>
      </c>
      <c r="H295" s="5" t="s">
        <v>3</v>
      </c>
    </row>
    <row r="296" spans="1:8" x14ac:dyDescent="0.25">
      <c r="A296" s="24" t="s">
        <v>474</v>
      </c>
      <c r="B296" s="24" t="s">
        <v>475</v>
      </c>
      <c r="C296" s="24" t="s">
        <v>499</v>
      </c>
      <c r="D296" s="27">
        <f>SUM(D297:D303)</f>
        <v>3698.15</v>
      </c>
      <c r="E296" s="27">
        <f>SUM(E297:E303)</f>
        <v>-267</v>
      </c>
      <c r="F296" s="27">
        <f>SUM(F297:F303)</f>
        <v>3431.15</v>
      </c>
      <c r="G296" s="24" t="s">
        <v>3</v>
      </c>
      <c r="H296" s="24" t="s">
        <v>3</v>
      </c>
    </row>
    <row r="297" spans="1:8" x14ac:dyDescent="0.25">
      <c r="A297" s="5" t="s">
        <v>3</v>
      </c>
      <c r="B297" s="5" t="s">
        <v>3</v>
      </c>
      <c r="C297" s="5" t="s">
        <v>42</v>
      </c>
      <c r="D297" s="6">
        <v>801</v>
      </c>
      <c r="E297" s="28">
        <v>-267</v>
      </c>
      <c r="F297" s="6">
        <f>D297+E297</f>
        <v>534</v>
      </c>
      <c r="G297" s="22" t="s">
        <v>752</v>
      </c>
      <c r="H297" s="5" t="s">
        <v>3</v>
      </c>
    </row>
    <row r="298" spans="1:8" x14ac:dyDescent="0.25">
      <c r="A298" s="5" t="s">
        <v>3</v>
      </c>
      <c r="B298" s="5" t="s">
        <v>3</v>
      </c>
      <c r="C298" s="5" t="s">
        <v>753</v>
      </c>
      <c r="D298" s="6">
        <v>1051.7</v>
      </c>
      <c r="E298" s="6">
        <v>0</v>
      </c>
      <c r="F298" s="6">
        <f>D298+E298</f>
        <v>1051.7</v>
      </c>
      <c r="G298" s="5" t="s">
        <v>3</v>
      </c>
      <c r="H298" s="5" t="s">
        <v>754</v>
      </c>
    </row>
    <row r="299" spans="1:8" x14ac:dyDescent="0.25">
      <c r="A299" s="5" t="s">
        <v>3</v>
      </c>
      <c r="B299" s="5" t="s">
        <v>3</v>
      </c>
      <c r="C299" s="5" t="s">
        <v>755</v>
      </c>
      <c r="D299" s="6">
        <v>881.4</v>
      </c>
      <c r="E299" s="6">
        <v>0</v>
      </c>
      <c r="F299" s="6">
        <f>D299+E299</f>
        <v>881.4</v>
      </c>
      <c r="G299" s="5" t="s">
        <v>3</v>
      </c>
      <c r="H299" s="5" t="s">
        <v>3</v>
      </c>
    </row>
    <row r="300" spans="1:8" x14ac:dyDescent="0.25">
      <c r="A300" s="5" t="s">
        <v>3</v>
      </c>
      <c r="B300" s="5" t="s">
        <v>3</v>
      </c>
      <c r="C300" s="5" t="s">
        <v>627</v>
      </c>
      <c r="D300" s="6">
        <v>543.93</v>
      </c>
      <c r="E300" s="6">
        <v>0</v>
      </c>
      <c r="F300" s="6">
        <f>D300+E300</f>
        <v>543.93</v>
      </c>
      <c r="G300" s="5" t="s">
        <v>3</v>
      </c>
      <c r="H300" s="5" t="s">
        <v>756</v>
      </c>
    </row>
    <row r="301" spans="1:8" x14ac:dyDescent="0.25">
      <c r="A301" s="5" t="s">
        <v>3</v>
      </c>
      <c r="B301" s="5" t="s">
        <v>3</v>
      </c>
      <c r="C301" s="5" t="s">
        <v>757</v>
      </c>
      <c r="D301" s="6">
        <v>235.56</v>
      </c>
      <c r="E301" s="6">
        <v>0</v>
      </c>
      <c r="F301" s="6">
        <f>D301+E301</f>
        <v>235.56</v>
      </c>
      <c r="G301" s="5" t="s">
        <v>3</v>
      </c>
      <c r="H301" s="5" t="s">
        <v>3</v>
      </c>
    </row>
    <row r="302" spans="1:8" x14ac:dyDescent="0.25">
      <c r="A302" s="5" t="s">
        <v>3</v>
      </c>
      <c r="B302" s="5" t="s">
        <v>3</v>
      </c>
      <c r="C302" s="5" t="s">
        <v>758</v>
      </c>
      <c r="D302" s="6">
        <v>149.56</v>
      </c>
      <c r="E302" s="6">
        <v>0</v>
      </c>
      <c r="F302" s="6">
        <f>D302+E302</f>
        <v>149.56</v>
      </c>
      <c r="G302" s="5" t="s">
        <v>3</v>
      </c>
      <c r="H302" s="5" t="s">
        <v>3</v>
      </c>
    </row>
    <row r="303" spans="1:8" x14ac:dyDescent="0.25">
      <c r="A303" s="5" t="s">
        <v>3</v>
      </c>
      <c r="B303" s="5" t="s">
        <v>3</v>
      </c>
      <c r="C303" s="5" t="s">
        <v>759</v>
      </c>
      <c r="D303" s="6">
        <v>35</v>
      </c>
      <c r="E303" s="6">
        <v>0</v>
      </c>
      <c r="F303" s="6">
        <f>D303+E303</f>
        <v>35</v>
      </c>
      <c r="G303" s="5" t="s">
        <v>3</v>
      </c>
      <c r="H303" s="5" t="s">
        <v>760</v>
      </c>
    </row>
    <row r="304" spans="1:8" x14ac:dyDescent="0.25">
      <c r="A304" s="24" t="s">
        <v>479</v>
      </c>
      <c r="B304" s="24" t="s">
        <v>480</v>
      </c>
      <c r="C304" s="24" t="s">
        <v>499</v>
      </c>
      <c r="D304" s="27">
        <f>SUM(D305:D307)</f>
        <v>32104.1</v>
      </c>
      <c r="E304" s="27">
        <f>SUM(E305:E307)</f>
        <v>0</v>
      </c>
      <c r="F304" s="27">
        <f>SUM(F305:F307)</f>
        <v>32104.1</v>
      </c>
      <c r="G304" s="24" t="s">
        <v>3</v>
      </c>
      <c r="H304" s="24" t="s">
        <v>3</v>
      </c>
    </row>
    <row r="305" spans="1:8" x14ac:dyDescent="0.25">
      <c r="A305" s="5" t="s">
        <v>3</v>
      </c>
      <c r="B305" s="5" t="s">
        <v>3</v>
      </c>
      <c r="C305" s="5" t="s">
        <v>761</v>
      </c>
      <c r="D305" s="6">
        <v>20000</v>
      </c>
      <c r="E305" s="6">
        <v>0</v>
      </c>
      <c r="F305" s="6">
        <f>D305+E305</f>
        <v>20000</v>
      </c>
      <c r="G305" s="5" t="s">
        <v>3</v>
      </c>
      <c r="H305" s="5" t="s">
        <v>3</v>
      </c>
    </row>
    <row r="306" spans="1:8" x14ac:dyDescent="0.25">
      <c r="A306" s="5" t="s">
        <v>3</v>
      </c>
      <c r="B306" s="5" t="s">
        <v>3</v>
      </c>
      <c r="C306" s="5" t="s">
        <v>762</v>
      </c>
      <c r="D306" s="6">
        <v>9000</v>
      </c>
      <c r="E306" s="6">
        <v>0</v>
      </c>
      <c r="F306" s="6">
        <f>D306+E306</f>
        <v>9000</v>
      </c>
      <c r="G306" s="5" t="s">
        <v>3</v>
      </c>
      <c r="H306" s="5" t="s">
        <v>3</v>
      </c>
    </row>
    <row r="307" spans="1:8" x14ac:dyDescent="0.25">
      <c r="A307" s="5" t="s">
        <v>3</v>
      </c>
      <c r="B307" s="5" t="s">
        <v>3</v>
      </c>
      <c r="C307" s="5" t="s">
        <v>763</v>
      </c>
      <c r="D307" s="6">
        <v>3104.1</v>
      </c>
      <c r="E307" s="6">
        <v>0</v>
      </c>
      <c r="F307" s="6">
        <f>D307+E307</f>
        <v>3104.1</v>
      </c>
      <c r="G307" s="5" t="s">
        <v>3</v>
      </c>
      <c r="H307" s="5" t="s">
        <v>3</v>
      </c>
    </row>
    <row r="308" spans="1:8" x14ac:dyDescent="0.25">
      <c r="A308" s="24" t="s">
        <v>481</v>
      </c>
      <c r="B308" s="24" t="s">
        <v>482</v>
      </c>
      <c r="C308" s="24" t="s">
        <v>499</v>
      </c>
      <c r="D308" s="27">
        <f>SUM(D309:D316)</f>
        <v>2925.67</v>
      </c>
      <c r="E308" s="27">
        <f>SUM(E309:E316)</f>
        <v>0</v>
      </c>
      <c r="F308" s="27">
        <f>SUM(F309:F316)</f>
        <v>2925.67</v>
      </c>
      <c r="G308" s="24" t="s">
        <v>3</v>
      </c>
      <c r="H308" s="24" t="s">
        <v>3</v>
      </c>
    </row>
    <row r="309" spans="1:8" x14ac:dyDescent="0.25">
      <c r="A309" s="5" t="s">
        <v>3</v>
      </c>
      <c r="B309" s="5" t="s">
        <v>3</v>
      </c>
      <c r="C309" s="5" t="s">
        <v>764</v>
      </c>
      <c r="D309" s="6">
        <v>1600</v>
      </c>
      <c r="E309" s="6">
        <v>0</v>
      </c>
      <c r="F309" s="6">
        <f>D309+E309</f>
        <v>1600</v>
      </c>
      <c r="G309" s="5" t="s">
        <v>3</v>
      </c>
      <c r="H309" s="5" t="s">
        <v>3</v>
      </c>
    </row>
    <row r="310" spans="1:8" x14ac:dyDescent="0.25">
      <c r="A310" s="5" t="s">
        <v>3</v>
      </c>
      <c r="B310" s="5" t="s">
        <v>3</v>
      </c>
      <c r="C310" s="5" t="s">
        <v>765</v>
      </c>
      <c r="D310" s="6">
        <v>405</v>
      </c>
      <c r="E310" s="6">
        <v>0</v>
      </c>
      <c r="F310" s="6">
        <f>D310+E310</f>
        <v>405</v>
      </c>
      <c r="G310" s="5" t="s">
        <v>3</v>
      </c>
      <c r="H310" s="5" t="s">
        <v>3</v>
      </c>
    </row>
    <row r="311" spans="1:8" x14ac:dyDescent="0.25">
      <c r="A311" s="5" t="s">
        <v>3</v>
      </c>
      <c r="B311" s="5" t="s">
        <v>3</v>
      </c>
      <c r="C311" s="5" t="s">
        <v>766</v>
      </c>
      <c r="D311" s="6">
        <v>291.49</v>
      </c>
      <c r="E311" s="6">
        <v>0</v>
      </c>
      <c r="F311" s="6">
        <f>D311+E311</f>
        <v>291.49</v>
      </c>
      <c r="G311" s="5" t="s">
        <v>3</v>
      </c>
      <c r="H311" s="5" t="s">
        <v>3</v>
      </c>
    </row>
    <row r="312" spans="1:8" x14ac:dyDescent="0.25">
      <c r="A312" s="5" t="s">
        <v>3</v>
      </c>
      <c r="B312" s="5" t="s">
        <v>3</v>
      </c>
      <c r="C312" s="5" t="s">
        <v>767</v>
      </c>
      <c r="D312" s="6">
        <v>230.11</v>
      </c>
      <c r="E312" s="6">
        <v>0</v>
      </c>
      <c r="F312" s="6">
        <f>D312+E312</f>
        <v>230.11</v>
      </c>
      <c r="G312" s="5" t="s">
        <v>3</v>
      </c>
      <c r="H312" s="5" t="s">
        <v>3</v>
      </c>
    </row>
    <row r="313" spans="1:8" x14ac:dyDescent="0.25">
      <c r="A313" s="5" t="s">
        <v>3</v>
      </c>
      <c r="B313" s="5" t="s">
        <v>3</v>
      </c>
      <c r="C313" s="5" t="s">
        <v>768</v>
      </c>
      <c r="D313" s="6">
        <v>214.83</v>
      </c>
      <c r="E313" s="6">
        <v>0</v>
      </c>
      <c r="F313" s="6">
        <f>D313+E313</f>
        <v>214.83</v>
      </c>
      <c r="G313" s="5" t="s">
        <v>3</v>
      </c>
      <c r="H313" s="5" t="s">
        <v>3</v>
      </c>
    </row>
    <row r="314" spans="1:8" x14ac:dyDescent="0.25">
      <c r="A314" s="5" t="s">
        <v>3</v>
      </c>
      <c r="B314" s="5" t="s">
        <v>3</v>
      </c>
      <c r="C314" s="5" t="s">
        <v>769</v>
      </c>
      <c r="D314" s="6">
        <v>84.08</v>
      </c>
      <c r="E314" s="6">
        <v>0</v>
      </c>
      <c r="F314" s="6">
        <f>D314+E314</f>
        <v>84.08</v>
      </c>
      <c r="G314" s="5" t="s">
        <v>3</v>
      </c>
      <c r="H314" s="5" t="s">
        <v>3</v>
      </c>
    </row>
    <row r="315" spans="1:8" x14ac:dyDescent="0.25">
      <c r="A315" s="5" t="s">
        <v>3</v>
      </c>
      <c r="B315" s="5" t="s">
        <v>3</v>
      </c>
      <c r="C315" s="5" t="s">
        <v>770</v>
      </c>
      <c r="D315" s="6">
        <v>79.9</v>
      </c>
      <c r="E315" s="6">
        <v>0</v>
      </c>
      <c r="F315" s="6">
        <f>D315+E315</f>
        <v>79.9</v>
      </c>
      <c r="G315" s="5" t="s">
        <v>3</v>
      </c>
      <c r="H315" s="5" t="s">
        <v>771</v>
      </c>
    </row>
    <row r="316" spans="1:8" x14ac:dyDescent="0.25">
      <c r="A316" s="5" t="s">
        <v>3</v>
      </c>
      <c r="B316" s="5" t="s">
        <v>3</v>
      </c>
      <c r="C316" s="5" t="s">
        <v>772</v>
      </c>
      <c r="D316" s="6">
        <v>20.26</v>
      </c>
      <c r="E316" s="6">
        <v>0</v>
      </c>
      <c r="F316" s="6">
        <f>D316+E316</f>
        <v>20.26</v>
      </c>
      <c r="G316" s="5" t="s">
        <v>3</v>
      </c>
      <c r="H316" s="5" t="s">
        <v>3</v>
      </c>
    </row>
    <row r="318" spans="1:8" x14ac:dyDescent="0.25">
      <c r="A318" s="13" t="s">
        <v>3</v>
      </c>
      <c r="B318" s="13" t="s">
        <v>3</v>
      </c>
      <c r="C318" s="13" t="s">
        <v>484</v>
      </c>
      <c r="D318" s="14">
        <f>D5+D37+D39+D45+D71</f>
        <v>1478048.67</v>
      </c>
      <c r="E318" s="14">
        <f>E5+E37+E39+E45+E71</f>
        <v>150401.43</v>
      </c>
      <c r="F318" s="14">
        <f>F5+F37+F39+F45+F71</f>
        <v>1628450.1</v>
      </c>
      <c r="G318" s="13" t="s">
        <v>3</v>
      </c>
      <c r="H318" s="13" t="s">
        <v>3</v>
      </c>
    </row>
    <row r="319" spans="1:8" x14ac:dyDescent="0.25">
      <c r="A319" s="13" t="s">
        <v>3</v>
      </c>
      <c r="B319" s="13" t="s">
        <v>3</v>
      </c>
      <c r="C319" s="13" t="s">
        <v>485</v>
      </c>
      <c r="D319" s="14">
        <f>D80+D83+D85+D87+D94+D127+D131+D134+D136+D143+D146+D150+D153+D155+D164+D166+D176+D178+D180+D182+D184+D186+D188+D199+D201+D203+D205+D207+D211+D215+D217+D280+D283+D287+D289+D292+D296+D304+D308</f>
        <v>2452976.18</v>
      </c>
      <c r="E319" s="14">
        <f>E80+E83+E85+E87+E94+E127+E131+E134+E136+E143+E146+E150+E153+E155+E164+E166+E176+E178+E180+E182+E184+E186+E188+E199+E201+E203+E205+E207+E211+E215+E217+E280+E283+E287+E289+E292+E296+E304+E308</f>
        <v>24409.44</v>
      </c>
      <c r="F319" s="14">
        <f>F80+F83+F85+F87+F94+F127+F131+F134+F136+F143+F146+F150+F153+F155+F164+F166+F176+F178+F180+F182+F184+F186+F188+F199+F201+F203+F205+F207+F211+F215+F217+F280+F283+F287+F289+F292+F296+F304+F308</f>
        <v>2477385.62</v>
      </c>
      <c r="G319" s="13" t="s">
        <v>3</v>
      </c>
      <c r="H319" s="13" t="s">
        <v>3</v>
      </c>
    </row>
    <row r="320" spans="1:8" x14ac:dyDescent="0.25">
      <c r="A320" s="19" t="s">
        <v>3</v>
      </c>
      <c r="B320" s="19" t="s">
        <v>3</v>
      </c>
      <c r="C320" s="19" t="s">
        <v>773</v>
      </c>
      <c r="D320" s="20">
        <f>D318+D319</f>
        <v>3931024.85</v>
      </c>
      <c r="E320" s="20">
        <f>E318+E319</f>
        <v>174810.87</v>
      </c>
      <c r="F320" s="20">
        <f>F318+F319</f>
        <v>4105835.72</v>
      </c>
      <c r="G320" s="19" t="s">
        <v>3</v>
      </c>
      <c r="H320" s="19" t="s">
        <v>3</v>
      </c>
    </row>
  </sheetData>
  <autoFilter ref="A4:H316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6" customWidth="1"/>
    <col min="4" max="4" width="15" customWidth="1"/>
    <col min="5" max="5" width="14" customWidth="1"/>
    <col min="6" max="6" width="15" customWidth="1"/>
    <col min="7" max="7" width="11" customWidth="1"/>
    <col min="8" max="8" width="70" customWidth="1"/>
  </cols>
  <sheetData>
    <row r="1" ht="26" customHeight="1" spans="1:8" x14ac:dyDescent="0.25">
      <c r="A1" s="1" t="s">
        <v>774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493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4" t="s">
        <v>360</v>
      </c>
      <c r="B4" s="4" t="s">
        <v>361</v>
      </c>
      <c r="C4" s="4" t="s">
        <v>34</v>
      </c>
      <c r="D4" s="4" t="s">
        <v>494</v>
      </c>
      <c r="E4" s="4" t="s">
        <v>495</v>
      </c>
      <c r="F4" s="4" t="s">
        <v>496</v>
      </c>
      <c r="G4" s="4" t="s">
        <v>497</v>
      </c>
      <c r="H4" s="4" t="s">
        <v>498</v>
      </c>
    </row>
    <row r="5" spans="1:8" x14ac:dyDescent="0.25">
      <c r="A5" s="24" t="s">
        <v>362</v>
      </c>
      <c r="B5" s="24" t="s">
        <v>363</v>
      </c>
      <c r="C5" s="24" t="s">
        <v>499</v>
      </c>
      <c r="D5" s="27">
        <f>SUM(D6:D33)</f>
        <v>331117.39</v>
      </c>
      <c r="E5" s="27">
        <f>SUM(E6:E33)</f>
        <v>139118.28</v>
      </c>
      <c r="F5" s="27">
        <f>SUM(F6:F33)</f>
        <v>470235.67</v>
      </c>
      <c r="G5" s="24" t="s">
        <v>3</v>
      </c>
      <c r="H5" s="24" t="s">
        <v>3</v>
      </c>
    </row>
    <row r="6" spans="1:8" x14ac:dyDescent="0.25">
      <c r="A6" s="5" t="s">
        <v>3</v>
      </c>
      <c r="B6" s="5" t="s">
        <v>3</v>
      </c>
      <c r="C6" s="5" t="s">
        <v>126</v>
      </c>
      <c r="D6" s="6">
        <v>0</v>
      </c>
      <c r="E6" s="14">
        <v>30000</v>
      </c>
      <c r="F6" s="6">
        <f>D6+E6</f>
        <v>30000</v>
      </c>
      <c r="G6" s="15" t="s">
        <v>775</v>
      </c>
      <c r="H6" s="5" t="s">
        <v>3</v>
      </c>
    </row>
    <row r="7" spans="1:8" x14ac:dyDescent="0.25">
      <c r="A7" s="5" t="s">
        <v>3</v>
      </c>
      <c r="B7" s="5" t="s">
        <v>3</v>
      </c>
      <c r="C7" s="5" t="s">
        <v>128</v>
      </c>
      <c r="D7" s="6">
        <v>0</v>
      </c>
      <c r="E7" s="14">
        <v>26000</v>
      </c>
      <c r="F7" s="6">
        <f>D7+E7</f>
        <v>26000</v>
      </c>
      <c r="G7" s="15" t="s">
        <v>776</v>
      </c>
      <c r="H7" s="5" t="s">
        <v>3</v>
      </c>
    </row>
    <row r="8" spans="1:8" x14ac:dyDescent="0.25">
      <c r="A8" s="5" t="s">
        <v>3</v>
      </c>
      <c r="B8" s="5" t="s">
        <v>3</v>
      </c>
      <c r="C8" s="5" t="s">
        <v>72</v>
      </c>
      <c r="D8" s="6">
        <v>0</v>
      </c>
      <c r="E8" s="14">
        <v>20000</v>
      </c>
      <c r="F8" s="6">
        <f>D8+E8</f>
        <v>20000</v>
      </c>
      <c r="G8" s="15" t="s">
        <v>777</v>
      </c>
      <c r="H8" s="5" t="s">
        <v>3</v>
      </c>
    </row>
    <row r="9" spans="1:8" x14ac:dyDescent="0.25">
      <c r="A9" s="5" t="s">
        <v>3</v>
      </c>
      <c r="B9" s="5" t="s">
        <v>3</v>
      </c>
      <c r="C9" s="5" t="s">
        <v>136</v>
      </c>
      <c r="D9" s="6">
        <v>0</v>
      </c>
      <c r="E9" s="14">
        <v>19000</v>
      </c>
      <c r="F9" s="6">
        <f>D9+E9</f>
        <v>19000</v>
      </c>
      <c r="G9" s="15" t="s">
        <v>778</v>
      </c>
      <c r="H9" s="5" t="s">
        <v>3</v>
      </c>
    </row>
    <row r="10" spans="1:8" x14ac:dyDescent="0.25">
      <c r="A10" s="5" t="s">
        <v>3</v>
      </c>
      <c r="B10" s="5" t="s">
        <v>3</v>
      </c>
      <c r="C10" s="5" t="s">
        <v>53</v>
      </c>
      <c r="D10" s="6">
        <v>0</v>
      </c>
      <c r="E10" s="14">
        <v>19000</v>
      </c>
      <c r="F10" s="6">
        <f>D10+E10</f>
        <v>19000</v>
      </c>
      <c r="G10" s="15" t="s">
        <v>779</v>
      </c>
      <c r="H10" s="5" t="s">
        <v>3</v>
      </c>
    </row>
    <row r="11" spans="1:8" x14ac:dyDescent="0.25">
      <c r="A11" s="5" t="s">
        <v>3</v>
      </c>
      <c r="B11" s="5" t="s">
        <v>3</v>
      </c>
      <c r="C11" s="5" t="s">
        <v>138</v>
      </c>
      <c r="D11" s="6">
        <v>0</v>
      </c>
      <c r="E11" s="14">
        <v>17500</v>
      </c>
      <c r="F11" s="6">
        <f>D11+E11</f>
        <v>17500</v>
      </c>
      <c r="G11" s="15" t="s">
        <v>780</v>
      </c>
      <c r="H11" s="5" t="s">
        <v>3</v>
      </c>
    </row>
    <row r="12" spans="1:8" x14ac:dyDescent="0.25">
      <c r="A12" s="5" t="s">
        <v>3</v>
      </c>
      <c r="B12" s="5" t="s">
        <v>3</v>
      </c>
      <c r="C12" s="5" t="s">
        <v>140</v>
      </c>
      <c r="D12" s="6">
        <v>0</v>
      </c>
      <c r="E12" s="14">
        <v>7618.28</v>
      </c>
      <c r="F12" s="6">
        <f>D12+E12</f>
        <v>7618.28</v>
      </c>
      <c r="G12" s="15" t="s">
        <v>781</v>
      </c>
      <c r="H12" s="5" t="s">
        <v>3</v>
      </c>
    </row>
    <row r="13" spans="1:8" x14ac:dyDescent="0.25">
      <c r="A13" s="5" t="s">
        <v>3</v>
      </c>
      <c r="B13" s="5" t="s">
        <v>3</v>
      </c>
      <c r="C13" s="5" t="s">
        <v>782</v>
      </c>
      <c r="D13" s="6">
        <v>50000</v>
      </c>
      <c r="E13" s="6">
        <v>0</v>
      </c>
      <c r="F13" s="6">
        <f>D13+E13</f>
        <v>50000</v>
      </c>
      <c r="G13" s="5" t="s">
        <v>3</v>
      </c>
      <c r="H13" s="5" t="s">
        <v>3</v>
      </c>
    </row>
    <row r="14" spans="1:8" x14ac:dyDescent="0.25">
      <c r="A14" s="5" t="s">
        <v>3</v>
      </c>
      <c r="B14" s="5" t="s">
        <v>3</v>
      </c>
      <c r="C14" s="5" t="s">
        <v>503</v>
      </c>
      <c r="D14" s="6">
        <v>50000</v>
      </c>
      <c r="E14" s="6">
        <v>0</v>
      </c>
      <c r="F14" s="6">
        <f>D14+E14</f>
        <v>50000</v>
      </c>
      <c r="G14" s="5" t="s">
        <v>3</v>
      </c>
      <c r="H14" s="5" t="s">
        <v>3</v>
      </c>
    </row>
    <row r="15" spans="1:8" x14ac:dyDescent="0.25">
      <c r="A15" s="5" t="s">
        <v>3</v>
      </c>
      <c r="B15" s="5" t="s">
        <v>3</v>
      </c>
      <c r="C15" s="5" t="s">
        <v>504</v>
      </c>
      <c r="D15" s="6">
        <v>34607.14</v>
      </c>
      <c r="E15" s="6">
        <v>0</v>
      </c>
      <c r="F15" s="6">
        <f>D15+E15</f>
        <v>34607.14</v>
      </c>
      <c r="G15" s="5" t="s">
        <v>3</v>
      </c>
      <c r="H15" s="5" t="s">
        <v>3</v>
      </c>
    </row>
    <row r="16" spans="1:8" x14ac:dyDescent="0.25">
      <c r="A16" s="5" t="s">
        <v>3</v>
      </c>
      <c r="B16" s="5" t="s">
        <v>3</v>
      </c>
      <c r="C16" s="5" t="s">
        <v>518</v>
      </c>
      <c r="D16" s="6">
        <v>20000</v>
      </c>
      <c r="E16" s="6">
        <v>0</v>
      </c>
      <c r="F16" s="6">
        <f>D16+E16</f>
        <v>20000</v>
      </c>
      <c r="G16" s="5" t="s">
        <v>3</v>
      </c>
      <c r="H16" s="5" t="s">
        <v>3</v>
      </c>
    </row>
    <row r="17" spans="1:8" x14ac:dyDescent="0.25">
      <c r="A17" s="5" t="s">
        <v>3</v>
      </c>
      <c r="B17" s="5" t="s">
        <v>3</v>
      </c>
      <c r="C17" s="5" t="s">
        <v>506</v>
      </c>
      <c r="D17" s="6">
        <v>17000</v>
      </c>
      <c r="E17" s="6">
        <v>0</v>
      </c>
      <c r="F17" s="6">
        <f>D17+E17</f>
        <v>17000</v>
      </c>
      <c r="G17" s="5" t="s">
        <v>3</v>
      </c>
      <c r="H17" s="5" t="s">
        <v>3</v>
      </c>
    </row>
    <row r="18" spans="1:8" x14ac:dyDescent="0.25">
      <c r="A18" s="5" t="s">
        <v>3</v>
      </c>
      <c r="B18" s="5" t="s">
        <v>3</v>
      </c>
      <c r="C18" s="5" t="s">
        <v>510</v>
      </c>
      <c r="D18" s="6">
        <v>16000</v>
      </c>
      <c r="E18" s="6">
        <v>0</v>
      </c>
      <c r="F18" s="6">
        <f>D18+E18</f>
        <v>16000</v>
      </c>
      <c r="G18" s="5" t="s">
        <v>3</v>
      </c>
      <c r="H18" s="5" t="s">
        <v>3</v>
      </c>
    </row>
    <row r="19" spans="1:8" x14ac:dyDescent="0.25">
      <c r="A19" s="5" t="s">
        <v>3</v>
      </c>
      <c r="B19" s="5" t="s">
        <v>3</v>
      </c>
      <c r="C19" s="5" t="s">
        <v>516</v>
      </c>
      <c r="D19" s="6">
        <v>14000</v>
      </c>
      <c r="E19" s="6">
        <v>0</v>
      </c>
      <c r="F19" s="6">
        <f>D19+E19</f>
        <v>14000</v>
      </c>
      <c r="G19" s="5" t="s">
        <v>3</v>
      </c>
      <c r="H19" s="5" t="s">
        <v>3</v>
      </c>
    </row>
    <row r="20" spans="1:8" x14ac:dyDescent="0.25">
      <c r="A20" s="5" t="s">
        <v>3</v>
      </c>
      <c r="B20" s="5" t="s">
        <v>3</v>
      </c>
      <c r="C20" s="5" t="s">
        <v>508</v>
      </c>
      <c r="D20" s="6">
        <v>13684.13</v>
      </c>
      <c r="E20" s="6">
        <v>0</v>
      </c>
      <c r="F20" s="6">
        <f>D20+E20</f>
        <v>13684.13</v>
      </c>
      <c r="G20" s="5" t="s">
        <v>3</v>
      </c>
      <c r="H20" s="5" t="s">
        <v>3</v>
      </c>
    </row>
    <row r="21" spans="1:8" x14ac:dyDescent="0.25">
      <c r="A21" s="5" t="s">
        <v>3</v>
      </c>
      <c r="B21" s="5" t="s">
        <v>3</v>
      </c>
      <c r="C21" s="5" t="s">
        <v>514</v>
      </c>
      <c r="D21" s="6">
        <v>13500</v>
      </c>
      <c r="E21" s="6">
        <v>0</v>
      </c>
      <c r="F21" s="6">
        <f>D21+E21</f>
        <v>13500</v>
      </c>
      <c r="G21" s="5" t="s">
        <v>3</v>
      </c>
      <c r="H21" s="5" t="s">
        <v>3</v>
      </c>
    </row>
    <row r="22" spans="1:8" x14ac:dyDescent="0.25">
      <c r="A22" s="5" t="s">
        <v>3</v>
      </c>
      <c r="B22" s="5" t="s">
        <v>3</v>
      </c>
      <c r="C22" s="5" t="s">
        <v>526</v>
      </c>
      <c r="D22" s="6">
        <v>13000</v>
      </c>
      <c r="E22" s="6">
        <v>0</v>
      </c>
      <c r="F22" s="6">
        <f>D22+E22</f>
        <v>13000</v>
      </c>
      <c r="G22" s="5" t="s">
        <v>3</v>
      </c>
      <c r="H22" s="5" t="s">
        <v>3</v>
      </c>
    </row>
    <row r="23" spans="1:8" x14ac:dyDescent="0.25">
      <c r="A23" s="5" t="s">
        <v>3</v>
      </c>
      <c r="B23" s="5" t="s">
        <v>3</v>
      </c>
      <c r="C23" s="5" t="s">
        <v>527</v>
      </c>
      <c r="D23" s="6">
        <v>12500</v>
      </c>
      <c r="E23" s="6">
        <v>0</v>
      </c>
      <c r="F23" s="6">
        <f>D23+E23</f>
        <v>12500</v>
      </c>
      <c r="G23" s="5" t="s">
        <v>3</v>
      </c>
      <c r="H23" s="5" t="s">
        <v>3</v>
      </c>
    </row>
    <row r="24" spans="1:8" x14ac:dyDescent="0.25">
      <c r="A24" s="5" t="s">
        <v>3</v>
      </c>
      <c r="B24" s="5" t="s">
        <v>3</v>
      </c>
      <c r="C24" s="5" t="s">
        <v>512</v>
      </c>
      <c r="D24" s="6">
        <v>12042.03</v>
      </c>
      <c r="E24" s="6">
        <v>0</v>
      </c>
      <c r="F24" s="6">
        <f>D24+E24</f>
        <v>12042.03</v>
      </c>
      <c r="G24" s="5" t="s">
        <v>3</v>
      </c>
      <c r="H24" s="5" t="s">
        <v>3</v>
      </c>
    </row>
    <row r="25" spans="1:8" x14ac:dyDescent="0.25">
      <c r="A25" s="5" t="s">
        <v>3</v>
      </c>
      <c r="B25" s="5" t="s">
        <v>3</v>
      </c>
      <c r="C25" s="5" t="s">
        <v>523</v>
      </c>
      <c r="D25" s="6">
        <v>11000</v>
      </c>
      <c r="E25" s="6">
        <v>0</v>
      </c>
      <c r="F25" s="6">
        <f>D25+E25</f>
        <v>11000</v>
      </c>
      <c r="G25" s="5" t="s">
        <v>3</v>
      </c>
      <c r="H25" s="5" t="s">
        <v>3</v>
      </c>
    </row>
    <row r="26" spans="1:8" x14ac:dyDescent="0.25">
      <c r="A26" s="5" t="s">
        <v>3</v>
      </c>
      <c r="B26" s="5" t="s">
        <v>3</v>
      </c>
      <c r="C26" s="5" t="s">
        <v>525</v>
      </c>
      <c r="D26" s="6">
        <v>9642.86</v>
      </c>
      <c r="E26" s="6">
        <v>0</v>
      </c>
      <c r="F26" s="6">
        <f>D26+E26</f>
        <v>9642.86</v>
      </c>
      <c r="G26" s="5" t="s">
        <v>3</v>
      </c>
      <c r="H26" s="5" t="s">
        <v>3</v>
      </c>
    </row>
    <row r="27" spans="1:8" x14ac:dyDescent="0.25">
      <c r="A27" s="5" t="s">
        <v>3</v>
      </c>
      <c r="B27" s="5" t="s">
        <v>3</v>
      </c>
      <c r="C27" s="5" t="s">
        <v>528</v>
      </c>
      <c r="D27" s="6">
        <v>9000</v>
      </c>
      <c r="E27" s="6">
        <v>0</v>
      </c>
      <c r="F27" s="6">
        <f>D27+E27</f>
        <v>9000</v>
      </c>
      <c r="G27" s="5" t="s">
        <v>3</v>
      </c>
      <c r="H27" s="5" t="s">
        <v>3</v>
      </c>
    </row>
    <row r="28" spans="1:8" x14ac:dyDescent="0.25">
      <c r="A28" s="5" t="s">
        <v>3</v>
      </c>
      <c r="B28" s="5" t="s">
        <v>3</v>
      </c>
      <c r="C28" s="5" t="s">
        <v>534</v>
      </c>
      <c r="D28" s="6">
        <v>9000</v>
      </c>
      <c r="E28" s="6">
        <v>0</v>
      </c>
      <c r="F28" s="6">
        <f>D28+E28</f>
        <v>9000</v>
      </c>
      <c r="G28" s="5" t="s">
        <v>3</v>
      </c>
      <c r="H28" s="5" t="s">
        <v>3</v>
      </c>
    </row>
    <row r="29" spans="1:8" x14ac:dyDescent="0.25">
      <c r="A29" s="5" t="s">
        <v>3</v>
      </c>
      <c r="B29" s="5" t="s">
        <v>3</v>
      </c>
      <c r="C29" s="5" t="s">
        <v>532</v>
      </c>
      <c r="D29" s="6">
        <v>8500</v>
      </c>
      <c r="E29" s="6">
        <v>0</v>
      </c>
      <c r="F29" s="6">
        <f>D29+E29</f>
        <v>8500</v>
      </c>
      <c r="G29" s="5" t="s">
        <v>3</v>
      </c>
      <c r="H29" s="5" t="s">
        <v>3</v>
      </c>
    </row>
    <row r="30" spans="1:8" x14ac:dyDescent="0.25">
      <c r="A30" s="5" t="s">
        <v>3</v>
      </c>
      <c r="B30" s="5" t="s">
        <v>3</v>
      </c>
      <c r="C30" s="5" t="s">
        <v>522</v>
      </c>
      <c r="D30" s="6">
        <v>7200.2</v>
      </c>
      <c r="E30" s="6">
        <v>0</v>
      </c>
      <c r="F30" s="6">
        <f>D30+E30</f>
        <v>7200.2</v>
      </c>
      <c r="G30" s="5" t="s">
        <v>3</v>
      </c>
      <c r="H30" s="5" t="s">
        <v>3</v>
      </c>
    </row>
    <row r="31" spans="1:8" x14ac:dyDescent="0.25">
      <c r="A31" s="5" t="s">
        <v>3</v>
      </c>
      <c r="B31" s="5" t="s">
        <v>3</v>
      </c>
      <c r="C31" s="5" t="s">
        <v>537</v>
      </c>
      <c r="D31" s="6">
        <v>4000</v>
      </c>
      <c r="E31" s="6">
        <v>0</v>
      </c>
      <c r="F31" s="6">
        <f>D31+E31</f>
        <v>4000</v>
      </c>
      <c r="G31" s="5" t="s">
        <v>3</v>
      </c>
      <c r="H31" s="5" t="s">
        <v>3</v>
      </c>
    </row>
    <row r="32" spans="1:8" x14ac:dyDescent="0.25">
      <c r="A32" s="5" t="s">
        <v>3</v>
      </c>
      <c r="B32" s="5" t="s">
        <v>3</v>
      </c>
      <c r="C32" s="5" t="s">
        <v>535</v>
      </c>
      <c r="D32" s="6">
        <v>3941.03</v>
      </c>
      <c r="E32" s="6">
        <v>0</v>
      </c>
      <c r="F32" s="6">
        <f>D32+E32</f>
        <v>3941.03</v>
      </c>
      <c r="G32" s="5" t="s">
        <v>3</v>
      </c>
      <c r="H32" s="5" t="s">
        <v>3</v>
      </c>
    </row>
    <row r="33" spans="1:8" x14ac:dyDescent="0.25">
      <c r="A33" s="5" t="s">
        <v>3</v>
      </c>
      <c r="B33" s="5" t="s">
        <v>3</v>
      </c>
      <c r="C33" s="5" t="s">
        <v>539</v>
      </c>
      <c r="D33" s="6">
        <v>2500</v>
      </c>
      <c r="E33" s="6">
        <v>0</v>
      </c>
      <c r="F33" s="6">
        <f>D33+E33</f>
        <v>2500</v>
      </c>
      <c r="G33" s="5" t="s">
        <v>3</v>
      </c>
      <c r="H33" s="5" t="s">
        <v>3</v>
      </c>
    </row>
    <row r="34" spans="1:8" x14ac:dyDescent="0.25">
      <c r="A34" s="24" t="s">
        <v>364</v>
      </c>
      <c r="B34" s="24" t="s">
        <v>365</v>
      </c>
      <c r="C34" s="24" t="s">
        <v>499</v>
      </c>
      <c r="D34" s="27">
        <f>SUM(D35:D35)</f>
        <v>22010</v>
      </c>
      <c r="E34" s="27">
        <f>SUM(E35:E35)</f>
        <v>55287.77</v>
      </c>
      <c r="F34" s="27">
        <f>SUM(F35:F35)</f>
        <v>77297.77</v>
      </c>
      <c r="G34" s="24" t="s">
        <v>3</v>
      </c>
      <c r="H34" s="24" t="s">
        <v>3</v>
      </c>
    </row>
    <row r="35" spans="1:8" x14ac:dyDescent="0.25">
      <c r="A35" s="5" t="s">
        <v>3</v>
      </c>
      <c r="B35" s="5" t="s">
        <v>3</v>
      </c>
      <c r="C35" s="5" t="s">
        <v>103</v>
      </c>
      <c r="D35" s="6">
        <v>22010</v>
      </c>
      <c r="E35" s="10">
        <v>55287.77</v>
      </c>
      <c r="F35" s="6">
        <f>D35+E35</f>
        <v>77297.77</v>
      </c>
      <c r="G35" s="11" t="s">
        <v>783</v>
      </c>
      <c r="H35" s="5" t="s">
        <v>3</v>
      </c>
    </row>
    <row r="36" spans="1:8" x14ac:dyDescent="0.25">
      <c r="A36" s="24" t="s">
        <v>366</v>
      </c>
      <c r="B36" s="24" t="s">
        <v>367</v>
      </c>
      <c r="C36" s="24" t="s">
        <v>499</v>
      </c>
      <c r="D36" s="27">
        <f>SUM(D37:D40)</f>
        <v>111623.7</v>
      </c>
      <c r="E36" s="27">
        <f>SUM(E37:E40)</f>
        <v>-7281.44</v>
      </c>
      <c r="F36" s="27">
        <f>SUM(F37:F40)</f>
        <v>104342.26</v>
      </c>
      <c r="G36" s="24" t="s">
        <v>3</v>
      </c>
      <c r="H36" s="24" t="s">
        <v>3</v>
      </c>
    </row>
    <row r="37" spans="1:8" x14ac:dyDescent="0.25">
      <c r="A37" s="5" t="s">
        <v>3</v>
      </c>
      <c r="B37" s="5" t="s">
        <v>3</v>
      </c>
      <c r="C37" s="5" t="s">
        <v>81</v>
      </c>
      <c r="D37" s="6">
        <v>95555.68</v>
      </c>
      <c r="E37" s="29">
        <v>-7281.44</v>
      </c>
      <c r="F37" s="6">
        <f>D37+E37</f>
        <v>88274.24</v>
      </c>
      <c r="G37" s="23" t="s">
        <v>784</v>
      </c>
      <c r="H37" s="5" t="s">
        <v>3</v>
      </c>
    </row>
    <row r="38" spans="1:8" x14ac:dyDescent="0.25">
      <c r="A38" s="5" t="s">
        <v>3</v>
      </c>
      <c r="B38" s="5" t="s">
        <v>3</v>
      </c>
      <c r="C38" s="5" t="s">
        <v>302</v>
      </c>
      <c r="D38" s="6">
        <v>8759.48</v>
      </c>
      <c r="E38" s="6">
        <v>0</v>
      </c>
      <c r="F38" s="6">
        <f>D38+E38</f>
        <v>8759.48</v>
      </c>
      <c r="G38" s="5" t="s">
        <v>3</v>
      </c>
      <c r="H38" s="5" t="s">
        <v>3</v>
      </c>
    </row>
    <row r="39" spans="1:8" x14ac:dyDescent="0.25">
      <c r="A39" s="5" t="s">
        <v>3</v>
      </c>
      <c r="B39" s="5" t="s">
        <v>3</v>
      </c>
      <c r="C39" s="5" t="s">
        <v>542</v>
      </c>
      <c r="D39" s="6">
        <v>4047.69</v>
      </c>
      <c r="E39" s="6">
        <v>0</v>
      </c>
      <c r="F39" s="6">
        <f>D39+E39</f>
        <v>4047.69</v>
      </c>
      <c r="G39" s="5" t="s">
        <v>3</v>
      </c>
      <c r="H39" s="5" t="s">
        <v>3</v>
      </c>
    </row>
    <row r="40" spans="1:8" x14ac:dyDescent="0.25">
      <c r="A40" s="5" t="s">
        <v>3</v>
      </c>
      <c r="B40" s="5" t="s">
        <v>3</v>
      </c>
      <c r="C40" s="5" t="s">
        <v>543</v>
      </c>
      <c r="D40" s="6">
        <v>3260.85</v>
      </c>
      <c r="E40" s="6">
        <v>0</v>
      </c>
      <c r="F40" s="6">
        <f>D40+E40</f>
        <v>3260.85</v>
      </c>
      <c r="G40" s="5" t="s">
        <v>3</v>
      </c>
      <c r="H40" s="5" t="s">
        <v>3</v>
      </c>
    </row>
    <row r="41" spans="1:8" x14ac:dyDescent="0.25">
      <c r="A41" s="24" t="s">
        <v>368</v>
      </c>
      <c r="B41" s="24" t="s">
        <v>369</v>
      </c>
      <c r="C41" s="24" t="s">
        <v>499</v>
      </c>
      <c r="D41" s="27">
        <f>SUM(D42:D59)</f>
        <v>159560.04</v>
      </c>
      <c r="E41" s="27">
        <f>SUM(E42:E59)</f>
        <v>0</v>
      </c>
      <c r="F41" s="27">
        <f>SUM(F42:F59)</f>
        <v>159560.04</v>
      </c>
      <c r="G41" s="24" t="s">
        <v>3</v>
      </c>
      <c r="H41" s="24" t="s">
        <v>3</v>
      </c>
    </row>
    <row r="42" spans="1:8" x14ac:dyDescent="0.25">
      <c r="A42" s="5" t="s">
        <v>3</v>
      </c>
      <c r="B42" s="5" t="s">
        <v>3</v>
      </c>
      <c r="C42" s="5" t="s">
        <v>270</v>
      </c>
      <c r="D42" s="6">
        <v>79731.8</v>
      </c>
      <c r="E42" s="6">
        <v>0</v>
      </c>
      <c r="F42" s="6">
        <f>D42+E42</f>
        <v>79731.8</v>
      </c>
      <c r="G42" s="5" t="s">
        <v>3</v>
      </c>
      <c r="H42" s="5" t="s">
        <v>3</v>
      </c>
    </row>
    <row r="43" spans="1:8" x14ac:dyDescent="0.25">
      <c r="A43" s="5" t="s">
        <v>3</v>
      </c>
      <c r="B43" s="5" t="s">
        <v>3</v>
      </c>
      <c r="C43" s="5" t="s">
        <v>180</v>
      </c>
      <c r="D43" s="6">
        <v>44079.32</v>
      </c>
      <c r="E43" s="6">
        <v>0</v>
      </c>
      <c r="F43" s="6">
        <f>D43+E43</f>
        <v>44079.32</v>
      </c>
      <c r="G43" s="5" t="s">
        <v>3</v>
      </c>
      <c r="H43" s="5" t="s">
        <v>3</v>
      </c>
    </row>
    <row r="44" spans="1:8" x14ac:dyDescent="0.25">
      <c r="A44" s="5" t="s">
        <v>3</v>
      </c>
      <c r="B44" s="5" t="s">
        <v>3</v>
      </c>
      <c r="C44" s="5" t="s">
        <v>550</v>
      </c>
      <c r="D44" s="6">
        <v>10000</v>
      </c>
      <c r="E44" s="6">
        <v>0</v>
      </c>
      <c r="F44" s="6">
        <f>D44+E44</f>
        <v>10000</v>
      </c>
      <c r="G44" s="5" t="s">
        <v>3</v>
      </c>
      <c r="H44" s="5" t="s">
        <v>3</v>
      </c>
    </row>
    <row r="45" spans="1:8" x14ac:dyDescent="0.25">
      <c r="A45" s="5" t="s">
        <v>3</v>
      </c>
      <c r="B45" s="5" t="s">
        <v>3</v>
      </c>
      <c r="C45" s="5" t="s">
        <v>187</v>
      </c>
      <c r="D45" s="6">
        <v>4789.62</v>
      </c>
      <c r="E45" s="6">
        <v>0</v>
      </c>
      <c r="F45" s="6">
        <f>D45+E45</f>
        <v>4789.62</v>
      </c>
      <c r="G45" s="5" t="s">
        <v>3</v>
      </c>
      <c r="H45" s="5" t="s">
        <v>3</v>
      </c>
    </row>
    <row r="46" spans="1:8" x14ac:dyDescent="0.25">
      <c r="A46" s="5" t="s">
        <v>3</v>
      </c>
      <c r="B46" s="5" t="s">
        <v>3</v>
      </c>
      <c r="C46" s="5" t="s">
        <v>553</v>
      </c>
      <c r="D46" s="6">
        <v>4462.85</v>
      </c>
      <c r="E46" s="6">
        <v>0</v>
      </c>
      <c r="F46" s="6">
        <f>D46+E46</f>
        <v>4462.85</v>
      </c>
      <c r="G46" s="5" t="s">
        <v>3</v>
      </c>
      <c r="H46" s="5" t="s">
        <v>3</v>
      </c>
    </row>
    <row r="47" spans="1:8" x14ac:dyDescent="0.25">
      <c r="A47" s="5" t="s">
        <v>3</v>
      </c>
      <c r="B47" s="5" t="s">
        <v>3</v>
      </c>
      <c r="C47" s="5" t="s">
        <v>551</v>
      </c>
      <c r="D47" s="6">
        <v>3400.62</v>
      </c>
      <c r="E47" s="6">
        <v>0</v>
      </c>
      <c r="F47" s="6">
        <f>D47+E47</f>
        <v>3400.62</v>
      </c>
      <c r="G47" s="5" t="s">
        <v>3</v>
      </c>
      <c r="H47" s="5" t="s">
        <v>3</v>
      </c>
    </row>
    <row r="48" spans="1:8" x14ac:dyDescent="0.25">
      <c r="A48" s="5" t="s">
        <v>3</v>
      </c>
      <c r="B48" s="5" t="s">
        <v>3</v>
      </c>
      <c r="C48" s="5" t="s">
        <v>552</v>
      </c>
      <c r="D48" s="6">
        <v>3000</v>
      </c>
      <c r="E48" s="6">
        <v>0</v>
      </c>
      <c r="F48" s="6">
        <f>D48+E48</f>
        <v>3000</v>
      </c>
      <c r="G48" s="5" t="s">
        <v>3</v>
      </c>
      <c r="H48" s="5" t="s">
        <v>3</v>
      </c>
    </row>
    <row r="49" spans="1:8" x14ac:dyDescent="0.25">
      <c r="A49" s="5" t="s">
        <v>3</v>
      </c>
      <c r="B49" s="5" t="s">
        <v>3</v>
      </c>
      <c r="C49" s="5" t="s">
        <v>554</v>
      </c>
      <c r="D49" s="6">
        <v>2094.05</v>
      </c>
      <c r="E49" s="6">
        <v>0</v>
      </c>
      <c r="F49" s="6">
        <f>D49+E49</f>
        <v>2094.05</v>
      </c>
      <c r="G49" s="5" t="s">
        <v>3</v>
      </c>
      <c r="H49" s="5" t="s">
        <v>3</v>
      </c>
    </row>
    <row r="50" spans="1:8" x14ac:dyDescent="0.25">
      <c r="A50" s="5" t="s">
        <v>3</v>
      </c>
      <c r="B50" s="5" t="s">
        <v>3</v>
      </c>
      <c r="C50" s="5" t="s">
        <v>555</v>
      </c>
      <c r="D50" s="6">
        <v>1844.59</v>
      </c>
      <c r="E50" s="6">
        <v>0</v>
      </c>
      <c r="F50" s="6">
        <f>D50+E50</f>
        <v>1844.59</v>
      </c>
      <c r="G50" s="5" t="s">
        <v>3</v>
      </c>
      <c r="H50" s="5" t="s">
        <v>3</v>
      </c>
    </row>
    <row r="51" spans="1:8" x14ac:dyDescent="0.25">
      <c r="A51" s="5" t="s">
        <v>3</v>
      </c>
      <c r="B51" s="5" t="s">
        <v>3</v>
      </c>
      <c r="C51" s="5" t="s">
        <v>785</v>
      </c>
      <c r="D51" s="6">
        <v>1708.32</v>
      </c>
      <c r="E51" s="6">
        <v>0</v>
      </c>
      <c r="F51" s="6">
        <f>D51+E51</f>
        <v>1708.32</v>
      </c>
      <c r="G51" s="5" t="s">
        <v>3</v>
      </c>
      <c r="H51" s="5" t="s">
        <v>3</v>
      </c>
    </row>
    <row r="52" spans="1:8" x14ac:dyDescent="0.25">
      <c r="A52" s="5" t="s">
        <v>3</v>
      </c>
      <c r="B52" s="5" t="s">
        <v>3</v>
      </c>
      <c r="C52" s="5" t="s">
        <v>556</v>
      </c>
      <c r="D52" s="6">
        <v>1421.53</v>
      </c>
      <c r="E52" s="6">
        <v>0</v>
      </c>
      <c r="F52" s="6">
        <f>D52+E52</f>
        <v>1421.53</v>
      </c>
      <c r="G52" s="5" t="s">
        <v>3</v>
      </c>
      <c r="H52" s="5" t="s">
        <v>3</v>
      </c>
    </row>
    <row r="53" spans="1:8" x14ac:dyDescent="0.25">
      <c r="A53" s="5" t="s">
        <v>3</v>
      </c>
      <c r="B53" s="5" t="s">
        <v>3</v>
      </c>
      <c r="C53" s="5" t="s">
        <v>786</v>
      </c>
      <c r="D53" s="6">
        <v>1128.64</v>
      </c>
      <c r="E53" s="6">
        <v>0</v>
      </c>
      <c r="F53" s="6">
        <f>D53+E53</f>
        <v>1128.64</v>
      </c>
      <c r="G53" s="5" t="s">
        <v>3</v>
      </c>
      <c r="H53" s="5" t="s">
        <v>3</v>
      </c>
    </row>
    <row r="54" spans="1:8" x14ac:dyDescent="0.25">
      <c r="A54" s="5" t="s">
        <v>3</v>
      </c>
      <c r="B54" s="5" t="s">
        <v>3</v>
      </c>
      <c r="C54" s="5" t="s">
        <v>560</v>
      </c>
      <c r="D54" s="6">
        <v>587.12</v>
      </c>
      <c r="E54" s="6">
        <v>0</v>
      </c>
      <c r="F54" s="6">
        <f>D54+E54</f>
        <v>587.12</v>
      </c>
      <c r="G54" s="5" t="s">
        <v>3</v>
      </c>
      <c r="H54" s="5" t="s">
        <v>3</v>
      </c>
    </row>
    <row r="55" spans="1:8" x14ac:dyDescent="0.25">
      <c r="A55" s="5" t="s">
        <v>3</v>
      </c>
      <c r="B55" s="5" t="s">
        <v>3</v>
      </c>
      <c r="C55" s="5" t="s">
        <v>563</v>
      </c>
      <c r="D55" s="6">
        <v>520.13</v>
      </c>
      <c r="E55" s="6">
        <v>0</v>
      </c>
      <c r="F55" s="6">
        <f>D55+E55</f>
        <v>520.13</v>
      </c>
      <c r="G55" s="5" t="s">
        <v>3</v>
      </c>
      <c r="H55" s="5" t="s">
        <v>3</v>
      </c>
    </row>
    <row r="56" spans="1:8" x14ac:dyDescent="0.25">
      <c r="A56" s="5" t="s">
        <v>3</v>
      </c>
      <c r="B56" s="5" t="s">
        <v>3</v>
      </c>
      <c r="C56" s="5" t="s">
        <v>561</v>
      </c>
      <c r="D56" s="6">
        <v>510.7</v>
      </c>
      <c r="E56" s="6">
        <v>0</v>
      </c>
      <c r="F56" s="6">
        <f>D56+E56</f>
        <v>510.7</v>
      </c>
      <c r="G56" s="5" t="s">
        <v>3</v>
      </c>
      <c r="H56" s="5" t="s">
        <v>3</v>
      </c>
    </row>
    <row r="57" spans="1:8" x14ac:dyDescent="0.25">
      <c r="A57" s="5" t="s">
        <v>3</v>
      </c>
      <c r="B57" s="5" t="s">
        <v>3</v>
      </c>
      <c r="C57" s="5" t="s">
        <v>565</v>
      </c>
      <c r="D57" s="6">
        <v>133.04</v>
      </c>
      <c r="E57" s="6">
        <v>0</v>
      </c>
      <c r="F57" s="6">
        <f>D57+E57</f>
        <v>133.04</v>
      </c>
      <c r="G57" s="5" t="s">
        <v>3</v>
      </c>
      <c r="H57" s="5" t="s">
        <v>3</v>
      </c>
    </row>
    <row r="58" spans="1:8" x14ac:dyDescent="0.25">
      <c r="A58" s="5" t="s">
        <v>3</v>
      </c>
      <c r="B58" s="5" t="s">
        <v>3</v>
      </c>
      <c r="C58" s="5" t="s">
        <v>566</v>
      </c>
      <c r="D58" s="6">
        <v>118.71</v>
      </c>
      <c r="E58" s="6">
        <v>0</v>
      </c>
      <c r="F58" s="6">
        <f>D58+E58</f>
        <v>118.71</v>
      </c>
      <c r="G58" s="5" t="s">
        <v>3</v>
      </c>
      <c r="H58" s="5" t="s">
        <v>3</v>
      </c>
    </row>
    <row r="59" spans="1:8" x14ac:dyDescent="0.25">
      <c r="A59" s="5" t="s">
        <v>3</v>
      </c>
      <c r="B59" s="5" t="s">
        <v>3</v>
      </c>
      <c r="C59" s="5" t="s">
        <v>570</v>
      </c>
      <c r="D59" s="6">
        <v>29</v>
      </c>
      <c r="E59" s="6">
        <v>0</v>
      </c>
      <c r="F59" s="6">
        <f>D59+E59</f>
        <v>29</v>
      </c>
      <c r="G59" s="5" t="s">
        <v>3</v>
      </c>
      <c r="H59" s="5" t="s">
        <v>3</v>
      </c>
    </row>
    <row r="60" spans="1:8" x14ac:dyDescent="0.25">
      <c r="A60" s="24" t="s">
        <v>370</v>
      </c>
      <c r="B60" s="24" t="s">
        <v>371</v>
      </c>
      <c r="C60" s="24" t="s">
        <v>499</v>
      </c>
      <c r="D60" s="27">
        <f>SUM(D61:D69)</f>
        <v>177538.15</v>
      </c>
      <c r="E60" s="27">
        <f>SUM(E61:E69)</f>
        <v>55567.78</v>
      </c>
      <c r="F60" s="27">
        <f>SUM(F61:F69)</f>
        <v>233105.93</v>
      </c>
      <c r="G60" s="24" t="s">
        <v>3</v>
      </c>
      <c r="H60" s="24" t="s">
        <v>3</v>
      </c>
    </row>
    <row r="61" spans="1:8" x14ac:dyDescent="0.25">
      <c r="A61" s="5" t="s">
        <v>3</v>
      </c>
      <c r="B61" s="5" t="s">
        <v>3</v>
      </c>
      <c r="C61" s="5" t="s">
        <v>121</v>
      </c>
      <c r="D61" s="6">
        <v>-2343</v>
      </c>
      <c r="E61" s="14">
        <v>35199</v>
      </c>
      <c r="F61" s="6">
        <f>D61+E61</f>
        <v>32856</v>
      </c>
      <c r="G61" s="15" t="s">
        <v>787</v>
      </c>
      <c r="H61" s="5" t="s">
        <v>3</v>
      </c>
    </row>
    <row r="62" spans="1:8" x14ac:dyDescent="0.25">
      <c r="A62" s="5" t="s">
        <v>3</v>
      </c>
      <c r="B62" s="5" t="s">
        <v>3</v>
      </c>
      <c r="C62" s="5" t="s">
        <v>131</v>
      </c>
      <c r="D62" s="6">
        <v>2133</v>
      </c>
      <c r="E62" s="14">
        <v>20368.78</v>
      </c>
      <c r="F62" s="6">
        <f>D62+E62</f>
        <v>22501.78</v>
      </c>
      <c r="G62" s="15" t="s">
        <v>788</v>
      </c>
      <c r="H62" s="5" t="s">
        <v>3</v>
      </c>
    </row>
    <row r="63" spans="1:8" x14ac:dyDescent="0.25">
      <c r="A63" s="5" t="s">
        <v>3</v>
      </c>
      <c r="B63" s="5" t="s">
        <v>3</v>
      </c>
      <c r="C63" s="5" t="s">
        <v>265</v>
      </c>
      <c r="D63" s="6">
        <v>139999.9</v>
      </c>
      <c r="E63" s="6">
        <v>0</v>
      </c>
      <c r="F63" s="6">
        <f>D63+E63</f>
        <v>139999.9</v>
      </c>
      <c r="G63" s="5" t="s">
        <v>3</v>
      </c>
      <c r="H63" s="5" t="s">
        <v>3</v>
      </c>
    </row>
    <row r="64" spans="1:8" x14ac:dyDescent="0.25">
      <c r="A64" s="5" t="s">
        <v>3</v>
      </c>
      <c r="B64" s="5" t="s">
        <v>3</v>
      </c>
      <c r="C64" s="5" t="s">
        <v>270</v>
      </c>
      <c r="D64" s="6">
        <v>10775</v>
      </c>
      <c r="E64" s="6">
        <v>0</v>
      </c>
      <c r="F64" s="6">
        <f>D64+E64</f>
        <v>10775</v>
      </c>
      <c r="G64" s="5" t="s">
        <v>3</v>
      </c>
      <c r="H64" s="5" t="s">
        <v>3</v>
      </c>
    </row>
    <row r="65" spans="1:8" x14ac:dyDescent="0.25">
      <c r="A65" s="5" t="s">
        <v>3</v>
      </c>
      <c r="B65" s="5" t="s">
        <v>3</v>
      </c>
      <c r="C65" s="5" t="s">
        <v>789</v>
      </c>
      <c r="D65" s="6">
        <v>8743</v>
      </c>
      <c r="E65" s="6">
        <v>0</v>
      </c>
      <c r="F65" s="6">
        <f>D65+E65</f>
        <v>8743</v>
      </c>
      <c r="G65" s="5" t="s">
        <v>3</v>
      </c>
      <c r="H65" s="5" t="s">
        <v>3</v>
      </c>
    </row>
    <row r="66" spans="1:8" x14ac:dyDescent="0.25">
      <c r="A66" s="5" t="s">
        <v>3</v>
      </c>
      <c r="B66" s="5" t="s">
        <v>3</v>
      </c>
      <c r="C66" s="5" t="s">
        <v>790</v>
      </c>
      <c r="D66" s="6">
        <v>6234.25</v>
      </c>
      <c r="E66" s="6">
        <v>0</v>
      </c>
      <c r="F66" s="6">
        <f>D66+E66</f>
        <v>6234.25</v>
      </c>
      <c r="G66" s="5" t="s">
        <v>3</v>
      </c>
      <c r="H66" s="5" t="s">
        <v>3</v>
      </c>
    </row>
    <row r="67" spans="1:8" x14ac:dyDescent="0.25">
      <c r="A67" s="5" t="s">
        <v>3</v>
      </c>
      <c r="B67" s="5" t="s">
        <v>3</v>
      </c>
      <c r="C67" s="5" t="s">
        <v>306</v>
      </c>
      <c r="D67" s="6">
        <v>5135.94</v>
      </c>
      <c r="E67" s="6">
        <v>0</v>
      </c>
      <c r="F67" s="6">
        <f>D67+E67</f>
        <v>5135.94</v>
      </c>
      <c r="G67" s="5" t="s">
        <v>3</v>
      </c>
      <c r="H67" s="5" t="s">
        <v>3</v>
      </c>
    </row>
    <row r="68" spans="1:8" x14ac:dyDescent="0.25">
      <c r="A68" s="5" t="s">
        <v>3</v>
      </c>
      <c r="B68" s="5" t="s">
        <v>3</v>
      </c>
      <c r="C68" s="5" t="s">
        <v>180</v>
      </c>
      <c r="D68" s="6">
        <v>4042</v>
      </c>
      <c r="E68" s="6">
        <v>0</v>
      </c>
      <c r="F68" s="6">
        <f>D68+E68</f>
        <v>4042</v>
      </c>
      <c r="G68" s="5" t="s">
        <v>3</v>
      </c>
      <c r="H68" s="5" t="s">
        <v>3</v>
      </c>
    </row>
    <row r="69" spans="1:8" x14ac:dyDescent="0.25">
      <c r="A69" s="5" t="s">
        <v>3</v>
      </c>
      <c r="B69" s="5" t="s">
        <v>3</v>
      </c>
      <c r="C69" s="5" t="s">
        <v>572</v>
      </c>
      <c r="D69" s="6">
        <v>2818.06</v>
      </c>
      <c r="E69" s="6">
        <v>0</v>
      </c>
      <c r="F69" s="6">
        <f>D69+E69</f>
        <v>2818.06</v>
      </c>
      <c r="G69" s="5" t="s">
        <v>3</v>
      </c>
      <c r="H69" s="5" t="s">
        <v>3</v>
      </c>
    </row>
    <row r="70" spans="1:8" x14ac:dyDescent="0.25">
      <c r="A70" s="24" t="s">
        <v>374</v>
      </c>
      <c r="B70" s="24" t="s">
        <v>375</v>
      </c>
      <c r="C70" s="24" t="s">
        <v>499</v>
      </c>
      <c r="D70" s="27">
        <f>SUM(D71:D71)</f>
        <v>1500</v>
      </c>
      <c r="E70" s="27">
        <f>SUM(E71:E71)</f>
        <v>0</v>
      </c>
      <c r="F70" s="27">
        <f>SUM(F71:F71)</f>
        <v>1500</v>
      </c>
      <c r="G70" s="24" t="s">
        <v>3</v>
      </c>
      <c r="H70" s="24" t="s">
        <v>3</v>
      </c>
    </row>
    <row r="71" spans="1:8" x14ac:dyDescent="0.25">
      <c r="A71" s="5" t="s">
        <v>3</v>
      </c>
      <c r="B71" s="5" t="s">
        <v>3</v>
      </c>
      <c r="C71" s="5" t="s">
        <v>791</v>
      </c>
      <c r="D71" s="6">
        <v>1500</v>
      </c>
      <c r="E71" s="6">
        <v>0</v>
      </c>
      <c r="F71" s="6">
        <f>D71+E71</f>
        <v>1500</v>
      </c>
      <c r="G71" s="5" t="s">
        <v>3</v>
      </c>
      <c r="H71" s="5" t="s">
        <v>3</v>
      </c>
    </row>
    <row r="72" spans="1:8" x14ac:dyDescent="0.25">
      <c r="A72" s="24" t="s">
        <v>376</v>
      </c>
      <c r="B72" s="24" t="s">
        <v>377</v>
      </c>
      <c r="C72" s="24" t="s">
        <v>499</v>
      </c>
      <c r="D72" s="27">
        <f>SUM(D73:D73)</f>
        <v>125</v>
      </c>
      <c r="E72" s="27">
        <f>SUM(E73:E73)</f>
        <v>0</v>
      </c>
      <c r="F72" s="27">
        <f>SUM(F73:F73)</f>
        <v>125</v>
      </c>
      <c r="G72" s="24" t="s">
        <v>3</v>
      </c>
      <c r="H72" s="24" t="s">
        <v>3</v>
      </c>
    </row>
    <row r="73" spans="1:8" x14ac:dyDescent="0.25">
      <c r="A73" s="5" t="s">
        <v>3</v>
      </c>
      <c r="B73" s="5" t="s">
        <v>3</v>
      </c>
      <c r="C73" s="5" t="s">
        <v>792</v>
      </c>
      <c r="D73" s="6">
        <v>125</v>
      </c>
      <c r="E73" s="6">
        <v>0</v>
      </c>
      <c r="F73" s="6">
        <f>D73+E73</f>
        <v>125</v>
      </c>
      <c r="G73" s="5" t="s">
        <v>3</v>
      </c>
      <c r="H73" s="5" t="s">
        <v>3</v>
      </c>
    </row>
    <row r="74" spans="1:8" x14ac:dyDescent="0.25">
      <c r="A74" s="24" t="s">
        <v>378</v>
      </c>
      <c r="B74" s="24" t="s">
        <v>379</v>
      </c>
      <c r="C74" s="24" t="s">
        <v>499</v>
      </c>
      <c r="D74" s="27">
        <f>SUM(D75:D78)</f>
        <v>2576.51</v>
      </c>
      <c r="E74" s="27">
        <f>SUM(E75:E78)</f>
        <v>0</v>
      </c>
      <c r="F74" s="27">
        <f>SUM(F75:F78)</f>
        <v>2576.51</v>
      </c>
      <c r="G74" s="24" t="s">
        <v>3</v>
      </c>
      <c r="H74" s="24" t="s">
        <v>3</v>
      </c>
    </row>
    <row r="75" spans="1:8" x14ac:dyDescent="0.25">
      <c r="A75" s="5" t="s">
        <v>3</v>
      </c>
      <c r="B75" s="5" t="s">
        <v>3</v>
      </c>
      <c r="C75" s="5" t="s">
        <v>793</v>
      </c>
      <c r="D75" s="6">
        <v>1184</v>
      </c>
      <c r="E75" s="6">
        <v>0</v>
      </c>
      <c r="F75" s="6">
        <f>D75+E75</f>
        <v>1184</v>
      </c>
      <c r="G75" s="5" t="s">
        <v>3</v>
      </c>
      <c r="H75" s="5" t="s">
        <v>3</v>
      </c>
    </row>
    <row r="76" spans="1:8" x14ac:dyDescent="0.25">
      <c r="A76" s="5" t="s">
        <v>3</v>
      </c>
      <c r="B76" s="5" t="s">
        <v>3</v>
      </c>
      <c r="C76" s="5" t="s">
        <v>794</v>
      </c>
      <c r="D76" s="6">
        <v>1099</v>
      </c>
      <c r="E76" s="6">
        <v>0</v>
      </c>
      <c r="F76" s="6">
        <f>D76+E76</f>
        <v>1099</v>
      </c>
      <c r="G76" s="5" t="s">
        <v>3</v>
      </c>
      <c r="H76" s="5" t="s">
        <v>3</v>
      </c>
    </row>
    <row r="77" spans="1:8" x14ac:dyDescent="0.25">
      <c r="A77" s="5" t="s">
        <v>3</v>
      </c>
      <c r="B77" s="5" t="s">
        <v>3</v>
      </c>
      <c r="C77" s="5" t="s">
        <v>582</v>
      </c>
      <c r="D77" s="6">
        <v>235.52</v>
      </c>
      <c r="E77" s="6">
        <v>0</v>
      </c>
      <c r="F77" s="6">
        <f>D77+E77</f>
        <v>235.52</v>
      </c>
      <c r="G77" s="5" t="s">
        <v>3</v>
      </c>
      <c r="H77" s="5" t="s">
        <v>3</v>
      </c>
    </row>
    <row r="78" spans="1:8" x14ac:dyDescent="0.25">
      <c r="A78" s="5" t="s">
        <v>3</v>
      </c>
      <c r="B78" s="5" t="s">
        <v>3</v>
      </c>
      <c r="C78" s="5" t="s">
        <v>795</v>
      </c>
      <c r="D78" s="6">
        <v>57.99</v>
      </c>
      <c r="E78" s="6">
        <v>0</v>
      </c>
      <c r="F78" s="6">
        <f>D78+E78</f>
        <v>57.99</v>
      </c>
      <c r="G78" s="5" t="s">
        <v>3</v>
      </c>
      <c r="H78" s="5" t="s">
        <v>3</v>
      </c>
    </row>
    <row r="79" spans="1:8" x14ac:dyDescent="0.25">
      <c r="A79" s="24" t="s">
        <v>382</v>
      </c>
      <c r="B79" s="24" t="s">
        <v>383</v>
      </c>
      <c r="C79" s="24" t="s">
        <v>499</v>
      </c>
      <c r="D79" s="27">
        <f>SUM(D80:D105)</f>
        <v>73488.94</v>
      </c>
      <c r="E79" s="27">
        <f>SUM(E80:E105)</f>
        <v>10001</v>
      </c>
      <c r="F79" s="27">
        <f>SUM(F80:F105)</f>
        <v>83489.94</v>
      </c>
      <c r="G79" s="24" t="s">
        <v>3</v>
      </c>
      <c r="H79" s="24" t="s">
        <v>3</v>
      </c>
    </row>
    <row r="80" spans="1:8" x14ac:dyDescent="0.25">
      <c r="A80" s="5" t="s">
        <v>3</v>
      </c>
      <c r="B80" s="5" t="s">
        <v>3</v>
      </c>
      <c r="C80" s="5" t="s">
        <v>149</v>
      </c>
      <c r="D80" s="6">
        <v>5000</v>
      </c>
      <c r="E80" s="29">
        <v>10001</v>
      </c>
      <c r="F80" s="6">
        <f>D80+E80</f>
        <v>15001</v>
      </c>
      <c r="G80" s="23" t="s">
        <v>796</v>
      </c>
      <c r="H80" s="5" t="s">
        <v>3</v>
      </c>
    </row>
    <row r="81" spans="1:8" x14ac:dyDescent="0.25">
      <c r="A81" s="5" t="s">
        <v>3</v>
      </c>
      <c r="B81" s="5" t="s">
        <v>3</v>
      </c>
      <c r="C81" s="5" t="s">
        <v>182</v>
      </c>
      <c r="D81" s="6">
        <v>30000</v>
      </c>
      <c r="E81" s="6">
        <v>0</v>
      </c>
      <c r="F81" s="6">
        <f>D81+E81</f>
        <v>30000</v>
      </c>
      <c r="G81" s="5" t="s">
        <v>3</v>
      </c>
      <c r="H81" s="5" t="s">
        <v>3</v>
      </c>
    </row>
    <row r="82" spans="1:8" x14ac:dyDescent="0.25">
      <c r="A82" s="5" t="s">
        <v>3</v>
      </c>
      <c r="B82" s="5" t="s">
        <v>3</v>
      </c>
      <c r="C82" s="5" t="s">
        <v>590</v>
      </c>
      <c r="D82" s="6">
        <v>-21759.56</v>
      </c>
      <c r="E82" s="6">
        <v>0</v>
      </c>
      <c r="F82" s="6">
        <f>D82+E82</f>
        <v>-21759.56</v>
      </c>
      <c r="G82" s="5" t="s">
        <v>3</v>
      </c>
      <c r="H82" s="5" t="s">
        <v>3</v>
      </c>
    </row>
    <row r="83" spans="1:8" x14ac:dyDescent="0.25">
      <c r="A83" s="5" t="s">
        <v>3</v>
      </c>
      <c r="B83" s="5" t="s">
        <v>3</v>
      </c>
      <c r="C83" s="5" t="s">
        <v>95</v>
      </c>
      <c r="D83" s="6">
        <v>13226.53</v>
      </c>
      <c r="E83" s="6">
        <v>0</v>
      </c>
      <c r="F83" s="6">
        <f>D83+E83</f>
        <v>13226.53</v>
      </c>
      <c r="G83" s="5" t="s">
        <v>3</v>
      </c>
      <c r="H83" s="5" t="s">
        <v>3</v>
      </c>
    </row>
    <row r="84" spans="1:8" x14ac:dyDescent="0.25">
      <c r="A84" s="5" t="s">
        <v>3</v>
      </c>
      <c r="B84" s="5" t="s">
        <v>3</v>
      </c>
      <c r="C84" s="5" t="s">
        <v>594</v>
      </c>
      <c r="D84" s="6">
        <v>9074.28</v>
      </c>
      <c r="E84" s="6">
        <v>0</v>
      </c>
      <c r="F84" s="6">
        <f>D84+E84</f>
        <v>9074.28</v>
      </c>
      <c r="G84" s="5" t="s">
        <v>3</v>
      </c>
      <c r="H84" s="5" t="s">
        <v>3</v>
      </c>
    </row>
    <row r="85" spans="1:8" x14ac:dyDescent="0.25">
      <c r="A85" s="5" t="s">
        <v>3</v>
      </c>
      <c r="B85" s="5" t="s">
        <v>3</v>
      </c>
      <c r="C85" s="5" t="s">
        <v>597</v>
      </c>
      <c r="D85" s="6">
        <v>7920.24</v>
      </c>
      <c r="E85" s="6">
        <v>0</v>
      </c>
      <c r="F85" s="6">
        <f>D85+E85</f>
        <v>7920.24</v>
      </c>
      <c r="G85" s="5" t="s">
        <v>3</v>
      </c>
      <c r="H85" s="5" t="s">
        <v>3</v>
      </c>
    </row>
    <row r="86" spans="1:8" x14ac:dyDescent="0.25">
      <c r="A86" s="5" t="s">
        <v>3</v>
      </c>
      <c r="B86" s="5" t="s">
        <v>3</v>
      </c>
      <c r="C86" s="5" t="s">
        <v>593</v>
      </c>
      <c r="D86" s="6">
        <v>5781.88</v>
      </c>
      <c r="E86" s="6">
        <v>0</v>
      </c>
      <c r="F86" s="6">
        <f>D86+E86</f>
        <v>5781.88</v>
      </c>
      <c r="G86" s="5" t="s">
        <v>3</v>
      </c>
      <c r="H86" s="5" t="s">
        <v>3</v>
      </c>
    </row>
    <row r="87" spans="1:8" x14ac:dyDescent="0.25">
      <c r="A87" s="5" t="s">
        <v>3</v>
      </c>
      <c r="B87" s="5" t="s">
        <v>3</v>
      </c>
      <c r="C87" s="5" t="s">
        <v>595</v>
      </c>
      <c r="D87" s="6">
        <v>5678.52</v>
      </c>
      <c r="E87" s="6">
        <v>0</v>
      </c>
      <c r="F87" s="6">
        <f>D87+E87</f>
        <v>5678.52</v>
      </c>
      <c r="G87" s="5" t="s">
        <v>3</v>
      </c>
      <c r="H87" s="5" t="s">
        <v>3</v>
      </c>
    </row>
    <row r="88" spans="1:8" x14ac:dyDescent="0.25">
      <c r="A88" s="5" t="s">
        <v>3</v>
      </c>
      <c r="B88" s="5" t="s">
        <v>3</v>
      </c>
      <c r="C88" s="5" t="s">
        <v>162</v>
      </c>
      <c r="D88" s="6">
        <v>4855</v>
      </c>
      <c r="E88" s="6">
        <v>0</v>
      </c>
      <c r="F88" s="6">
        <f>D88+E88</f>
        <v>4855</v>
      </c>
      <c r="G88" s="5" t="s">
        <v>3</v>
      </c>
      <c r="H88" s="5" t="s">
        <v>3</v>
      </c>
    </row>
    <row r="89" spans="1:8" x14ac:dyDescent="0.25">
      <c r="A89" s="5" t="s">
        <v>3</v>
      </c>
      <c r="B89" s="5" t="s">
        <v>3</v>
      </c>
      <c r="C89" s="5" t="s">
        <v>600</v>
      </c>
      <c r="D89" s="6">
        <v>4416.94</v>
      </c>
      <c r="E89" s="6">
        <v>0</v>
      </c>
      <c r="F89" s="6">
        <f>D89+E89</f>
        <v>4416.94</v>
      </c>
      <c r="G89" s="5" t="s">
        <v>3</v>
      </c>
      <c r="H89" s="5" t="s">
        <v>3</v>
      </c>
    </row>
    <row r="90" spans="1:8" x14ac:dyDescent="0.25">
      <c r="A90" s="5" t="s">
        <v>3</v>
      </c>
      <c r="B90" s="5" t="s">
        <v>3</v>
      </c>
      <c r="C90" s="5" t="s">
        <v>99</v>
      </c>
      <c r="D90" s="6">
        <v>3192.25</v>
      </c>
      <c r="E90" s="6">
        <v>0</v>
      </c>
      <c r="F90" s="6">
        <f>D90+E90</f>
        <v>3192.25</v>
      </c>
      <c r="G90" s="5" t="s">
        <v>3</v>
      </c>
      <c r="H90" s="5" t="s">
        <v>3</v>
      </c>
    </row>
    <row r="91" spans="1:8" x14ac:dyDescent="0.25">
      <c r="A91" s="5" t="s">
        <v>3</v>
      </c>
      <c r="B91" s="5" t="s">
        <v>3</v>
      </c>
      <c r="C91" s="5" t="s">
        <v>190</v>
      </c>
      <c r="D91" s="6">
        <v>2384.54</v>
      </c>
      <c r="E91" s="6">
        <v>0</v>
      </c>
      <c r="F91" s="6">
        <f>D91+E91</f>
        <v>2384.54</v>
      </c>
      <c r="G91" s="5" t="s">
        <v>3</v>
      </c>
      <c r="H91" s="5" t="s">
        <v>3</v>
      </c>
    </row>
    <row r="92" spans="1:8" x14ac:dyDescent="0.25">
      <c r="A92" s="5" t="s">
        <v>3</v>
      </c>
      <c r="B92" s="5" t="s">
        <v>3</v>
      </c>
      <c r="C92" s="5" t="s">
        <v>601</v>
      </c>
      <c r="D92" s="6">
        <v>1304</v>
      </c>
      <c r="E92" s="6">
        <v>0</v>
      </c>
      <c r="F92" s="6">
        <f>D92+E92</f>
        <v>1304</v>
      </c>
      <c r="G92" s="5" t="s">
        <v>3</v>
      </c>
      <c r="H92" s="5" t="s">
        <v>3</v>
      </c>
    </row>
    <row r="93" spans="1:8" x14ac:dyDescent="0.25">
      <c r="A93" s="5" t="s">
        <v>3</v>
      </c>
      <c r="B93" s="5" t="s">
        <v>3</v>
      </c>
      <c r="C93" s="5" t="s">
        <v>602</v>
      </c>
      <c r="D93" s="6">
        <v>960</v>
      </c>
      <c r="E93" s="6">
        <v>0</v>
      </c>
      <c r="F93" s="6">
        <f>D93+E93</f>
        <v>960</v>
      </c>
      <c r="G93" s="5" t="s">
        <v>3</v>
      </c>
      <c r="H93" s="5" t="s">
        <v>3</v>
      </c>
    </row>
    <row r="94" spans="1:8" x14ac:dyDescent="0.25">
      <c r="A94" s="5" t="s">
        <v>3</v>
      </c>
      <c r="B94" s="5" t="s">
        <v>3</v>
      </c>
      <c r="C94" s="5" t="s">
        <v>603</v>
      </c>
      <c r="D94" s="6">
        <v>216.18</v>
      </c>
      <c r="E94" s="6">
        <v>0</v>
      </c>
      <c r="F94" s="6">
        <f>D94+E94</f>
        <v>216.18</v>
      </c>
      <c r="G94" s="5" t="s">
        <v>3</v>
      </c>
      <c r="H94" s="5" t="s">
        <v>3</v>
      </c>
    </row>
    <row r="95" spans="1:8" x14ac:dyDescent="0.25">
      <c r="A95" s="5" t="s">
        <v>3</v>
      </c>
      <c r="B95" s="5" t="s">
        <v>3</v>
      </c>
      <c r="C95" s="5" t="s">
        <v>604</v>
      </c>
      <c r="D95" s="6">
        <v>189.18</v>
      </c>
      <c r="E95" s="6">
        <v>0</v>
      </c>
      <c r="F95" s="6">
        <f>D95+E95</f>
        <v>189.18</v>
      </c>
      <c r="G95" s="5" t="s">
        <v>3</v>
      </c>
      <c r="H95" s="5" t="s">
        <v>3</v>
      </c>
    </row>
    <row r="96" spans="1:8" x14ac:dyDescent="0.25">
      <c r="A96" s="5" t="s">
        <v>3</v>
      </c>
      <c r="B96" s="5" t="s">
        <v>3</v>
      </c>
      <c r="C96" s="5" t="s">
        <v>797</v>
      </c>
      <c r="D96" s="6">
        <v>164</v>
      </c>
      <c r="E96" s="6">
        <v>0</v>
      </c>
      <c r="F96" s="6">
        <f>D96+E96</f>
        <v>164</v>
      </c>
      <c r="G96" s="5" t="s">
        <v>3</v>
      </c>
      <c r="H96" s="5" t="s">
        <v>3</v>
      </c>
    </row>
    <row r="97" spans="1:8" x14ac:dyDescent="0.25">
      <c r="A97" s="5" t="s">
        <v>3</v>
      </c>
      <c r="B97" s="5" t="s">
        <v>3</v>
      </c>
      <c r="C97" s="5" t="s">
        <v>798</v>
      </c>
      <c r="D97" s="6">
        <v>149</v>
      </c>
      <c r="E97" s="6">
        <v>0</v>
      </c>
      <c r="F97" s="6">
        <f>D97+E97</f>
        <v>149</v>
      </c>
      <c r="G97" s="5" t="s">
        <v>3</v>
      </c>
      <c r="H97" s="5" t="s">
        <v>3</v>
      </c>
    </row>
    <row r="98" spans="1:8" x14ac:dyDescent="0.25">
      <c r="A98" s="5" t="s">
        <v>3</v>
      </c>
      <c r="B98" s="5" t="s">
        <v>3</v>
      </c>
      <c r="C98" s="5" t="s">
        <v>799</v>
      </c>
      <c r="D98" s="6">
        <v>139.99</v>
      </c>
      <c r="E98" s="6">
        <v>0</v>
      </c>
      <c r="F98" s="6">
        <f>D98+E98</f>
        <v>139.99</v>
      </c>
      <c r="G98" s="5" t="s">
        <v>3</v>
      </c>
      <c r="H98" s="5" t="s">
        <v>3</v>
      </c>
    </row>
    <row r="99" spans="1:8" x14ac:dyDescent="0.25">
      <c r="A99" s="5" t="s">
        <v>3</v>
      </c>
      <c r="B99" s="5" t="s">
        <v>3</v>
      </c>
      <c r="C99" s="5" t="s">
        <v>605</v>
      </c>
      <c r="D99" s="6">
        <v>132.96</v>
      </c>
      <c r="E99" s="6">
        <v>0</v>
      </c>
      <c r="F99" s="6">
        <f>D99+E99</f>
        <v>132.96</v>
      </c>
      <c r="G99" s="5" t="s">
        <v>3</v>
      </c>
      <c r="H99" s="5" t="s">
        <v>3</v>
      </c>
    </row>
    <row r="100" spans="1:8" x14ac:dyDescent="0.25">
      <c r="A100" s="5" t="s">
        <v>3</v>
      </c>
      <c r="B100" s="5" t="s">
        <v>3</v>
      </c>
      <c r="C100" s="5" t="s">
        <v>800</v>
      </c>
      <c r="D100" s="6">
        <v>111.27</v>
      </c>
      <c r="E100" s="6">
        <v>0</v>
      </c>
      <c r="F100" s="6">
        <f>D100+E100</f>
        <v>111.27</v>
      </c>
      <c r="G100" s="5" t="s">
        <v>3</v>
      </c>
      <c r="H100" s="5" t="s">
        <v>3</v>
      </c>
    </row>
    <row r="101" spans="1:8" x14ac:dyDescent="0.25">
      <c r="A101" s="5" t="s">
        <v>3</v>
      </c>
      <c r="B101" s="5" t="s">
        <v>3</v>
      </c>
      <c r="C101" s="5" t="s">
        <v>554</v>
      </c>
      <c r="D101" s="6">
        <v>106.44</v>
      </c>
      <c r="E101" s="6">
        <v>0</v>
      </c>
      <c r="F101" s="6">
        <f>D101+E101</f>
        <v>106.44</v>
      </c>
      <c r="G101" s="5" t="s">
        <v>3</v>
      </c>
      <c r="H101" s="5" t="s">
        <v>3</v>
      </c>
    </row>
    <row r="102" spans="1:8" x14ac:dyDescent="0.25">
      <c r="A102" s="5" t="s">
        <v>3</v>
      </c>
      <c r="B102" s="5" t="s">
        <v>3</v>
      </c>
      <c r="C102" s="5" t="s">
        <v>610</v>
      </c>
      <c r="D102" s="6">
        <v>93.35</v>
      </c>
      <c r="E102" s="6">
        <v>0</v>
      </c>
      <c r="F102" s="6">
        <f>D102+E102</f>
        <v>93.35</v>
      </c>
      <c r="G102" s="5" t="s">
        <v>3</v>
      </c>
      <c r="H102" s="5" t="s">
        <v>3</v>
      </c>
    </row>
    <row r="103" spans="1:8" x14ac:dyDescent="0.25">
      <c r="A103" s="5" t="s">
        <v>3</v>
      </c>
      <c r="B103" s="5" t="s">
        <v>3</v>
      </c>
      <c r="C103" s="5" t="s">
        <v>606</v>
      </c>
      <c r="D103" s="6">
        <v>85.48</v>
      </c>
      <c r="E103" s="6">
        <v>0</v>
      </c>
      <c r="F103" s="6">
        <f>D103+E103</f>
        <v>85.48</v>
      </c>
      <c r="G103" s="5" t="s">
        <v>3</v>
      </c>
      <c r="H103" s="5" t="s">
        <v>3</v>
      </c>
    </row>
    <row r="104" spans="1:8" x14ac:dyDescent="0.25">
      <c r="A104" s="5" t="s">
        <v>3</v>
      </c>
      <c r="B104" s="5" t="s">
        <v>3</v>
      </c>
      <c r="C104" s="5" t="s">
        <v>612</v>
      </c>
      <c r="D104" s="6">
        <v>37.49</v>
      </c>
      <c r="E104" s="6">
        <v>0</v>
      </c>
      <c r="F104" s="6">
        <f>D104+E104</f>
        <v>37.49</v>
      </c>
      <c r="G104" s="5" t="s">
        <v>3</v>
      </c>
      <c r="H104" s="5" t="s">
        <v>3</v>
      </c>
    </row>
    <row r="105" spans="1:8" x14ac:dyDescent="0.25">
      <c r="A105" s="5" t="s">
        <v>3</v>
      </c>
      <c r="B105" s="5" t="s">
        <v>3</v>
      </c>
      <c r="C105" s="5" t="s">
        <v>613</v>
      </c>
      <c r="D105" s="6">
        <v>28.98</v>
      </c>
      <c r="E105" s="6">
        <v>0</v>
      </c>
      <c r="F105" s="6">
        <f>D105+E105</f>
        <v>28.98</v>
      </c>
      <c r="G105" s="5" t="s">
        <v>3</v>
      </c>
      <c r="H105" s="5" t="s">
        <v>3</v>
      </c>
    </row>
    <row r="106" spans="1:8" x14ac:dyDescent="0.25">
      <c r="A106" s="24" t="s">
        <v>384</v>
      </c>
      <c r="B106" s="24" t="s">
        <v>385</v>
      </c>
      <c r="C106" s="24" t="s">
        <v>499</v>
      </c>
      <c r="D106" s="27">
        <f>SUM(D107:D109)</f>
        <v>9105.76</v>
      </c>
      <c r="E106" s="27">
        <f>SUM(E107:E109)</f>
        <v>0</v>
      </c>
      <c r="F106" s="27">
        <f>SUM(F107:F109)</f>
        <v>9105.76</v>
      </c>
      <c r="G106" s="24" t="s">
        <v>3</v>
      </c>
      <c r="H106" s="24" t="s">
        <v>3</v>
      </c>
    </row>
    <row r="107" spans="1:8" x14ac:dyDescent="0.25">
      <c r="A107" s="5" t="s">
        <v>3</v>
      </c>
      <c r="B107" s="5" t="s">
        <v>3</v>
      </c>
      <c r="C107" s="5" t="s">
        <v>615</v>
      </c>
      <c r="D107" s="6">
        <v>4272.44</v>
      </c>
      <c r="E107" s="6">
        <v>0</v>
      </c>
      <c r="F107" s="6">
        <f>D107+E107</f>
        <v>4272.44</v>
      </c>
      <c r="G107" s="5" t="s">
        <v>3</v>
      </c>
      <c r="H107" s="5" t="s">
        <v>3</v>
      </c>
    </row>
    <row r="108" spans="1:8" x14ac:dyDescent="0.25">
      <c r="A108" s="5" t="s">
        <v>3</v>
      </c>
      <c r="B108" s="5" t="s">
        <v>3</v>
      </c>
      <c r="C108" s="5" t="s">
        <v>614</v>
      </c>
      <c r="D108" s="6">
        <v>2833.32</v>
      </c>
      <c r="E108" s="6">
        <v>0</v>
      </c>
      <c r="F108" s="6">
        <f>D108+E108</f>
        <v>2833.32</v>
      </c>
      <c r="G108" s="5" t="s">
        <v>3</v>
      </c>
      <c r="H108" s="5" t="s">
        <v>3</v>
      </c>
    </row>
    <row r="109" spans="1:8" x14ac:dyDescent="0.25">
      <c r="A109" s="5" t="s">
        <v>3</v>
      </c>
      <c r="B109" s="5" t="s">
        <v>3</v>
      </c>
      <c r="C109" s="5" t="s">
        <v>617</v>
      </c>
      <c r="D109" s="6">
        <v>2000</v>
      </c>
      <c r="E109" s="6">
        <v>0</v>
      </c>
      <c r="F109" s="6">
        <f>D109+E109</f>
        <v>2000</v>
      </c>
      <c r="G109" s="5" t="s">
        <v>3</v>
      </c>
      <c r="H109" s="5" t="s">
        <v>3</v>
      </c>
    </row>
    <row r="110" spans="1:8" x14ac:dyDescent="0.25">
      <c r="A110" s="24" t="s">
        <v>386</v>
      </c>
      <c r="B110" s="24" t="s">
        <v>387</v>
      </c>
      <c r="C110" s="24" t="s">
        <v>499</v>
      </c>
      <c r="D110" s="27">
        <f>SUM(D111:D112)</f>
        <v>3002.34</v>
      </c>
      <c r="E110" s="27">
        <f>SUM(E111:E112)</f>
        <v>0</v>
      </c>
      <c r="F110" s="27">
        <f>SUM(F111:F112)</f>
        <v>3002.34</v>
      </c>
      <c r="G110" s="24" t="s">
        <v>3</v>
      </c>
      <c r="H110" s="24" t="s">
        <v>3</v>
      </c>
    </row>
    <row r="111" spans="1:8" x14ac:dyDescent="0.25">
      <c r="A111" s="5" t="s">
        <v>3</v>
      </c>
      <c r="B111" s="5" t="s">
        <v>3</v>
      </c>
      <c r="C111" s="5" t="s">
        <v>801</v>
      </c>
      <c r="D111" s="6">
        <v>1813.05</v>
      </c>
      <c r="E111" s="6">
        <v>0</v>
      </c>
      <c r="F111" s="6">
        <f>D111+E111</f>
        <v>1813.05</v>
      </c>
      <c r="G111" s="5" t="s">
        <v>3</v>
      </c>
      <c r="H111" s="5" t="s">
        <v>3</v>
      </c>
    </row>
    <row r="112" spans="1:8" x14ac:dyDescent="0.25">
      <c r="A112" s="5" t="s">
        <v>3</v>
      </c>
      <c r="B112" s="5" t="s">
        <v>3</v>
      </c>
      <c r="C112" s="5" t="s">
        <v>802</v>
      </c>
      <c r="D112" s="6">
        <v>1189.29</v>
      </c>
      <c r="E112" s="6">
        <v>0</v>
      </c>
      <c r="F112" s="6">
        <f>D112+E112</f>
        <v>1189.29</v>
      </c>
      <c r="G112" s="5" t="s">
        <v>3</v>
      </c>
      <c r="H112" s="5" t="s">
        <v>3</v>
      </c>
    </row>
    <row r="113" spans="1:8" x14ac:dyDescent="0.25">
      <c r="A113" s="24" t="s">
        <v>390</v>
      </c>
      <c r="B113" s="24" t="s">
        <v>391</v>
      </c>
      <c r="C113" s="24" t="s">
        <v>499</v>
      </c>
      <c r="D113" s="27">
        <f>SUM(D114:D115)</f>
        <v>2769</v>
      </c>
      <c r="E113" s="27">
        <f>SUM(E114:E115)</f>
        <v>0</v>
      </c>
      <c r="F113" s="27">
        <f>SUM(F114:F115)</f>
        <v>2769</v>
      </c>
      <c r="G113" s="24" t="s">
        <v>3</v>
      </c>
      <c r="H113" s="24" t="s">
        <v>3</v>
      </c>
    </row>
    <row r="114" spans="1:8" x14ac:dyDescent="0.25">
      <c r="A114" s="5" t="s">
        <v>3</v>
      </c>
      <c r="B114" s="5" t="s">
        <v>3</v>
      </c>
      <c r="C114" s="5" t="s">
        <v>803</v>
      </c>
      <c r="D114" s="6">
        <v>2200</v>
      </c>
      <c r="E114" s="6">
        <v>0</v>
      </c>
      <c r="F114" s="6">
        <f>D114+E114</f>
        <v>2200</v>
      </c>
      <c r="G114" s="5" t="s">
        <v>3</v>
      </c>
      <c r="H114" s="5" t="s">
        <v>3</v>
      </c>
    </row>
    <row r="115" spans="1:8" x14ac:dyDescent="0.25">
      <c r="A115" s="5" t="s">
        <v>3</v>
      </c>
      <c r="B115" s="5" t="s">
        <v>3</v>
      </c>
      <c r="C115" s="5" t="s">
        <v>620</v>
      </c>
      <c r="D115" s="6">
        <v>569</v>
      </c>
      <c r="E115" s="6">
        <v>0</v>
      </c>
      <c r="F115" s="6">
        <f>D115+E115</f>
        <v>569</v>
      </c>
      <c r="G115" s="5" t="s">
        <v>3</v>
      </c>
      <c r="H115" s="5" t="s">
        <v>3</v>
      </c>
    </row>
    <row r="116" spans="1:8" x14ac:dyDescent="0.25">
      <c r="A116" s="24" t="s">
        <v>392</v>
      </c>
      <c r="B116" s="24" t="s">
        <v>393</v>
      </c>
      <c r="C116" s="24" t="s">
        <v>499</v>
      </c>
      <c r="D116" s="27">
        <f>SUM(D117:D126)</f>
        <v>54701.12</v>
      </c>
      <c r="E116" s="27">
        <f>SUM(E117:E126)</f>
        <v>3658.58</v>
      </c>
      <c r="F116" s="27">
        <f>SUM(F117:F126)</f>
        <v>58359.7</v>
      </c>
      <c r="G116" s="24" t="s">
        <v>3</v>
      </c>
      <c r="H116" s="24" t="s">
        <v>3</v>
      </c>
    </row>
    <row r="117" spans="1:8" x14ac:dyDescent="0.25">
      <c r="A117" s="5" t="s">
        <v>3</v>
      </c>
      <c r="B117" s="5" t="s">
        <v>3</v>
      </c>
      <c r="C117" s="5" t="s">
        <v>151</v>
      </c>
      <c r="D117" s="6">
        <v>3049.5</v>
      </c>
      <c r="E117" s="29">
        <v>3049.5</v>
      </c>
      <c r="F117" s="6">
        <f>D117+E117</f>
        <v>6099</v>
      </c>
      <c r="G117" s="23" t="s">
        <v>804</v>
      </c>
      <c r="H117" s="5" t="s">
        <v>3</v>
      </c>
    </row>
    <row r="118" spans="1:8" x14ac:dyDescent="0.25">
      <c r="A118" s="5" t="s">
        <v>3</v>
      </c>
      <c r="B118" s="5" t="s">
        <v>3</v>
      </c>
      <c r="C118" s="5" t="s">
        <v>155</v>
      </c>
      <c r="D118" s="6">
        <v>609.08</v>
      </c>
      <c r="E118" s="29">
        <v>609.08</v>
      </c>
      <c r="F118" s="6">
        <f>D118+E118</f>
        <v>1218.16</v>
      </c>
      <c r="G118" s="23" t="s">
        <v>141</v>
      </c>
      <c r="H118" s="5" t="s">
        <v>3</v>
      </c>
    </row>
    <row r="119" spans="1:8" x14ac:dyDescent="0.25">
      <c r="A119" s="5" t="s">
        <v>3</v>
      </c>
      <c r="B119" s="5" t="s">
        <v>3</v>
      </c>
      <c r="C119" s="5" t="s">
        <v>621</v>
      </c>
      <c r="D119" s="6">
        <v>40374.94</v>
      </c>
      <c r="E119" s="6">
        <v>0</v>
      </c>
      <c r="F119" s="6">
        <f>D119+E119</f>
        <v>40374.94</v>
      </c>
      <c r="G119" s="5" t="s">
        <v>3</v>
      </c>
      <c r="H119" s="5" t="s">
        <v>3</v>
      </c>
    </row>
    <row r="120" spans="1:8" x14ac:dyDescent="0.25">
      <c r="A120" s="5" t="s">
        <v>3</v>
      </c>
      <c r="B120" s="5" t="s">
        <v>3</v>
      </c>
      <c r="C120" s="5" t="s">
        <v>805</v>
      </c>
      <c r="D120" s="6">
        <v>5254.01</v>
      </c>
      <c r="E120" s="6">
        <v>0</v>
      </c>
      <c r="F120" s="6">
        <f>D120+E120</f>
        <v>5254.01</v>
      </c>
      <c r="G120" s="5" t="s">
        <v>3</v>
      </c>
      <c r="H120" s="5" t="s">
        <v>3</v>
      </c>
    </row>
    <row r="121" spans="1:8" x14ac:dyDescent="0.25">
      <c r="A121" s="5" t="s">
        <v>3</v>
      </c>
      <c r="B121" s="5" t="s">
        <v>3</v>
      </c>
      <c r="C121" s="5" t="s">
        <v>806</v>
      </c>
      <c r="D121" s="6">
        <v>3982.98</v>
      </c>
      <c r="E121" s="6">
        <v>0</v>
      </c>
      <c r="F121" s="6">
        <f>D121+E121</f>
        <v>3982.98</v>
      </c>
      <c r="G121" s="5" t="s">
        <v>3</v>
      </c>
      <c r="H121" s="5" t="s">
        <v>3</v>
      </c>
    </row>
    <row r="122" spans="1:8" x14ac:dyDescent="0.25">
      <c r="A122" s="5" t="s">
        <v>3</v>
      </c>
      <c r="B122" s="5" t="s">
        <v>3</v>
      </c>
      <c r="C122" s="5" t="s">
        <v>807</v>
      </c>
      <c r="D122" s="6">
        <v>491.7</v>
      </c>
      <c r="E122" s="6">
        <v>0</v>
      </c>
      <c r="F122" s="6">
        <f>D122+E122</f>
        <v>491.7</v>
      </c>
      <c r="G122" s="5" t="s">
        <v>3</v>
      </c>
      <c r="H122" s="5" t="s">
        <v>3</v>
      </c>
    </row>
    <row r="123" spans="1:8" x14ac:dyDescent="0.25">
      <c r="A123" s="5" t="s">
        <v>3</v>
      </c>
      <c r="B123" s="5" t="s">
        <v>3</v>
      </c>
      <c r="C123" s="5" t="s">
        <v>808</v>
      </c>
      <c r="D123" s="6">
        <v>442.55</v>
      </c>
      <c r="E123" s="6">
        <v>0</v>
      </c>
      <c r="F123" s="6">
        <f>D123+E123</f>
        <v>442.55</v>
      </c>
      <c r="G123" s="5" t="s">
        <v>3</v>
      </c>
      <c r="H123" s="5" t="s">
        <v>3</v>
      </c>
    </row>
    <row r="124" spans="1:8" x14ac:dyDescent="0.25">
      <c r="A124" s="5" t="s">
        <v>3</v>
      </c>
      <c r="B124" s="5" t="s">
        <v>3</v>
      </c>
      <c r="C124" s="5" t="s">
        <v>623</v>
      </c>
      <c r="D124" s="6">
        <v>309.35</v>
      </c>
      <c r="E124" s="6">
        <v>0</v>
      </c>
      <c r="F124" s="6">
        <f>D124+E124</f>
        <v>309.35</v>
      </c>
      <c r="G124" s="5" t="s">
        <v>3</v>
      </c>
      <c r="H124" s="5" t="s">
        <v>3</v>
      </c>
    </row>
    <row r="125" spans="1:8" x14ac:dyDescent="0.25">
      <c r="A125" s="5" t="s">
        <v>3</v>
      </c>
      <c r="B125" s="5" t="s">
        <v>3</v>
      </c>
      <c r="C125" s="5" t="s">
        <v>809</v>
      </c>
      <c r="D125" s="6">
        <v>98.61</v>
      </c>
      <c r="E125" s="6">
        <v>0</v>
      </c>
      <c r="F125" s="6">
        <f>D125+E125</f>
        <v>98.61</v>
      </c>
      <c r="G125" s="5" t="s">
        <v>3</v>
      </c>
      <c r="H125" s="5" t="s">
        <v>3</v>
      </c>
    </row>
    <row r="126" spans="1:8" x14ac:dyDescent="0.25">
      <c r="A126" s="5" t="s">
        <v>3</v>
      </c>
      <c r="B126" s="5" t="s">
        <v>3</v>
      </c>
      <c r="C126" s="5" t="s">
        <v>810</v>
      </c>
      <c r="D126" s="6">
        <v>88.4</v>
      </c>
      <c r="E126" s="6">
        <v>0</v>
      </c>
      <c r="F126" s="6">
        <f>D126+E126</f>
        <v>88.4</v>
      </c>
      <c r="G126" s="5" t="s">
        <v>3</v>
      </c>
      <c r="H126" s="5" t="s">
        <v>3</v>
      </c>
    </row>
    <row r="127" spans="1:8" x14ac:dyDescent="0.25">
      <c r="A127" s="24" t="s">
        <v>394</v>
      </c>
      <c r="B127" s="24" t="s">
        <v>395</v>
      </c>
      <c r="C127" s="24" t="s">
        <v>499</v>
      </c>
      <c r="D127" s="27">
        <f>SUM(D128:D133)</f>
        <v>3814.37</v>
      </c>
      <c r="E127" s="27">
        <f>SUM(E128:E133)</f>
        <v>0</v>
      </c>
      <c r="F127" s="27">
        <f>SUM(F128:F133)</f>
        <v>3814.37</v>
      </c>
      <c r="G127" s="24" t="s">
        <v>3</v>
      </c>
      <c r="H127" s="24" t="s">
        <v>3</v>
      </c>
    </row>
    <row r="128" spans="1:8" x14ac:dyDescent="0.25">
      <c r="A128" s="5" t="s">
        <v>3</v>
      </c>
      <c r="B128" s="5" t="s">
        <v>3</v>
      </c>
      <c r="C128" s="5" t="s">
        <v>811</v>
      </c>
      <c r="D128" s="6">
        <v>2174.42</v>
      </c>
      <c r="E128" s="6">
        <v>0</v>
      </c>
      <c r="F128" s="6">
        <f>D128+E128</f>
        <v>2174.42</v>
      </c>
      <c r="G128" s="5" t="s">
        <v>3</v>
      </c>
      <c r="H128" s="5" t="s">
        <v>3</v>
      </c>
    </row>
    <row r="129" spans="1:8" x14ac:dyDescent="0.25">
      <c r="A129" s="5" t="s">
        <v>3</v>
      </c>
      <c r="B129" s="5" t="s">
        <v>3</v>
      </c>
      <c r="C129" s="5" t="s">
        <v>627</v>
      </c>
      <c r="D129" s="6">
        <v>1201.25</v>
      </c>
      <c r="E129" s="6">
        <v>0</v>
      </c>
      <c r="F129" s="6">
        <f>D129+E129</f>
        <v>1201.25</v>
      </c>
      <c r="G129" s="5" t="s">
        <v>3</v>
      </c>
      <c r="H129" s="5" t="s">
        <v>3</v>
      </c>
    </row>
    <row r="130" spans="1:8" x14ac:dyDescent="0.25">
      <c r="A130" s="5" t="s">
        <v>3</v>
      </c>
      <c r="B130" s="5" t="s">
        <v>3</v>
      </c>
      <c r="C130" s="5" t="s">
        <v>812</v>
      </c>
      <c r="D130" s="6">
        <v>173.9</v>
      </c>
      <c r="E130" s="6">
        <v>0</v>
      </c>
      <c r="F130" s="6">
        <f>D130+E130</f>
        <v>173.9</v>
      </c>
      <c r="G130" s="5" t="s">
        <v>3</v>
      </c>
      <c r="H130" s="5" t="s">
        <v>3</v>
      </c>
    </row>
    <row r="131" spans="1:8" x14ac:dyDescent="0.25">
      <c r="A131" s="5" t="s">
        <v>3</v>
      </c>
      <c r="B131" s="5" t="s">
        <v>3</v>
      </c>
      <c r="C131" s="5" t="s">
        <v>807</v>
      </c>
      <c r="D131" s="6">
        <v>130.3</v>
      </c>
      <c r="E131" s="6">
        <v>0</v>
      </c>
      <c r="F131" s="6">
        <f>D131+E131</f>
        <v>130.3</v>
      </c>
      <c r="G131" s="5" t="s">
        <v>3</v>
      </c>
      <c r="H131" s="5" t="s">
        <v>3</v>
      </c>
    </row>
    <row r="132" spans="1:8" x14ac:dyDescent="0.25">
      <c r="A132" s="5" t="s">
        <v>3</v>
      </c>
      <c r="B132" s="5" t="s">
        <v>3</v>
      </c>
      <c r="C132" s="5" t="s">
        <v>813</v>
      </c>
      <c r="D132" s="6">
        <v>102.5</v>
      </c>
      <c r="E132" s="6">
        <v>0</v>
      </c>
      <c r="F132" s="6">
        <f>D132+E132</f>
        <v>102.5</v>
      </c>
      <c r="G132" s="5" t="s">
        <v>3</v>
      </c>
      <c r="H132" s="5" t="s">
        <v>3</v>
      </c>
    </row>
    <row r="133" spans="1:8" x14ac:dyDescent="0.25">
      <c r="A133" s="5" t="s">
        <v>3</v>
      </c>
      <c r="B133" s="5" t="s">
        <v>3</v>
      </c>
      <c r="C133" s="5" t="s">
        <v>798</v>
      </c>
      <c r="D133" s="6">
        <v>32</v>
      </c>
      <c r="E133" s="6">
        <v>0</v>
      </c>
      <c r="F133" s="6">
        <f>D133+E133</f>
        <v>32</v>
      </c>
      <c r="G133" s="5" t="s">
        <v>3</v>
      </c>
      <c r="H133" s="5" t="s">
        <v>3</v>
      </c>
    </row>
    <row r="134" spans="1:8" x14ac:dyDescent="0.25">
      <c r="A134" s="24" t="s">
        <v>396</v>
      </c>
      <c r="B134" s="24" t="s">
        <v>397</v>
      </c>
      <c r="C134" s="24" t="s">
        <v>499</v>
      </c>
      <c r="D134" s="27">
        <f>SUM(D135:D149)</f>
        <v>3387.44</v>
      </c>
      <c r="E134" s="27">
        <f>SUM(E135:E149)</f>
        <v>0</v>
      </c>
      <c r="F134" s="27">
        <f>SUM(F135:F149)</f>
        <v>3387.44</v>
      </c>
      <c r="G134" s="24" t="s">
        <v>3</v>
      </c>
      <c r="H134" s="24" t="s">
        <v>3</v>
      </c>
    </row>
    <row r="135" spans="1:8" x14ac:dyDescent="0.25">
      <c r="A135" s="5" t="s">
        <v>3</v>
      </c>
      <c r="B135" s="5" t="s">
        <v>3</v>
      </c>
      <c r="C135" s="5" t="s">
        <v>814</v>
      </c>
      <c r="D135" s="6">
        <v>601.32</v>
      </c>
      <c r="E135" s="6">
        <v>0</v>
      </c>
      <c r="F135" s="6">
        <f>D135+E135</f>
        <v>601.32</v>
      </c>
      <c r="G135" s="5" t="s">
        <v>3</v>
      </c>
      <c r="H135" s="5" t="s">
        <v>3</v>
      </c>
    </row>
    <row r="136" spans="1:8" x14ac:dyDescent="0.25">
      <c r="A136" s="5" t="s">
        <v>3</v>
      </c>
      <c r="B136" s="5" t="s">
        <v>3</v>
      </c>
      <c r="C136" s="5" t="s">
        <v>815</v>
      </c>
      <c r="D136" s="6">
        <v>407.58</v>
      </c>
      <c r="E136" s="6">
        <v>0</v>
      </c>
      <c r="F136" s="6">
        <f>D136+E136</f>
        <v>407.58</v>
      </c>
      <c r="G136" s="5" t="s">
        <v>3</v>
      </c>
      <c r="H136" s="5" t="s">
        <v>3</v>
      </c>
    </row>
    <row r="137" spans="1:8" x14ac:dyDescent="0.25">
      <c r="A137" s="5" t="s">
        <v>3</v>
      </c>
      <c r="B137" s="5" t="s">
        <v>3</v>
      </c>
      <c r="C137" s="5" t="s">
        <v>812</v>
      </c>
      <c r="D137" s="6">
        <v>401.45</v>
      </c>
      <c r="E137" s="6">
        <v>0</v>
      </c>
      <c r="F137" s="6">
        <f>D137+E137</f>
        <v>401.45</v>
      </c>
      <c r="G137" s="5" t="s">
        <v>3</v>
      </c>
      <c r="H137" s="5" t="s">
        <v>3</v>
      </c>
    </row>
    <row r="138" spans="1:8" x14ac:dyDescent="0.25">
      <c r="A138" s="5" t="s">
        <v>3</v>
      </c>
      <c r="B138" s="5" t="s">
        <v>3</v>
      </c>
      <c r="C138" s="5" t="s">
        <v>813</v>
      </c>
      <c r="D138" s="6">
        <v>365.89</v>
      </c>
      <c r="E138" s="6">
        <v>0</v>
      </c>
      <c r="F138" s="6">
        <f>D138+E138</f>
        <v>365.89</v>
      </c>
      <c r="G138" s="5" t="s">
        <v>3</v>
      </c>
      <c r="H138" s="5" t="s">
        <v>3</v>
      </c>
    </row>
    <row r="139" spans="1:8" x14ac:dyDescent="0.25">
      <c r="A139" s="5" t="s">
        <v>3</v>
      </c>
      <c r="B139" s="5" t="s">
        <v>3</v>
      </c>
      <c r="C139" s="5" t="s">
        <v>816</v>
      </c>
      <c r="D139" s="6">
        <v>209.1</v>
      </c>
      <c r="E139" s="6">
        <v>0</v>
      </c>
      <c r="F139" s="6">
        <f>D139+E139</f>
        <v>209.1</v>
      </c>
      <c r="G139" s="5" t="s">
        <v>3</v>
      </c>
      <c r="H139" s="5" t="s">
        <v>3</v>
      </c>
    </row>
    <row r="140" spans="1:8" x14ac:dyDescent="0.25">
      <c r="A140" s="5" t="s">
        <v>3</v>
      </c>
      <c r="B140" s="5" t="s">
        <v>3</v>
      </c>
      <c r="C140" s="5" t="s">
        <v>817</v>
      </c>
      <c r="D140" s="6">
        <v>208.52</v>
      </c>
      <c r="E140" s="6">
        <v>0</v>
      </c>
      <c r="F140" s="6">
        <f>D140+E140</f>
        <v>208.52</v>
      </c>
      <c r="G140" s="5" t="s">
        <v>3</v>
      </c>
      <c r="H140" s="5" t="s">
        <v>3</v>
      </c>
    </row>
    <row r="141" spans="1:8" x14ac:dyDescent="0.25">
      <c r="A141" s="5" t="s">
        <v>3</v>
      </c>
      <c r="B141" s="5" t="s">
        <v>3</v>
      </c>
      <c r="C141" s="5" t="s">
        <v>808</v>
      </c>
      <c r="D141" s="6">
        <v>188.95</v>
      </c>
      <c r="E141" s="6">
        <v>0</v>
      </c>
      <c r="F141" s="6">
        <f>D141+E141</f>
        <v>188.95</v>
      </c>
      <c r="G141" s="5" t="s">
        <v>3</v>
      </c>
      <c r="H141" s="5" t="s">
        <v>3</v>
      </c>
    </row>
    <row r="142" spans="1:8" x14ac:dyDescent="0.25">
      <c r="A142" s="5" t="s">
        <v>3</v>
      </c>
      <c r="B142" s="5" t="s">
        <v>3</v>
      </c>
      <c r="C142" s="5" t="s">
        <v>818</v>
      </c>
      <c r="D142" s="6">
        <v>185.75</v>
      </c>
      <c r="E142" s="6">
        <v>0</v>
      </c>
      <c r="F142" s="6">
        <f>D142+E142</f>
        <v>185.75</v>
      </c>
      <c r="G142" s="5" t="s">
        <v>3</v>
      </c>
      <c r="H142" s="5" t="s">
        <v>3</v>
      </c>
    </row>
    <row r="143" spans="1:8" x14ac:dyDescent="0.25">
      <c r="A143" s="5" t="s">
        <v>3</v>
      </c>
      <c r="B143" s="5" t="s">
        <v>3</v>
      </c>
      <c r="C143" s="5" t="s">
        <v>809</v>
      </c>
      <c r="D143" s="6">
        <v>148.38</v>
      </c>
      <c r="E143" s="6">
        <v>0</v>
      </c>
      <c r="F143" s="6">
        <f>D143+E143</f>
        <v>148.38</v>
      </c>
      <c r="G143" s="5" t="s">
        <v>3</v>
      </c>
      <c r="H143" s="5" t="s">
        <v>3</v>
      </c>
    </row>
    <row r="144" spans="1:8" x14ac:dyDescent="0.25">
      <c r="A144" s="5" t="s">
        <v>3</v>
      </c>
      <c r="B144" s="5" t="s">
        <v>3</v>
      </c>
      <c r="C144" s="5" t="s">
        <v>810</v>
      </c>
      <c r="D144" s="6">
        <v>120.52</v>
      </c>
      <c r="E144" s="6">
        <v>0</v>
      </c>
      <c r="F144" s="6">
        <f>D144+E144</f>
        <v>120.52</v>
      </c>
      <c r="G144" s="5" t="s">
        <v>3</v>
      </c>
      <c r="H144" s="5" t="s">
        <v>3</v>
      </c>
    </row>
    <row r="145" spans="1:8" x14ac:dyDescent="0.25">
      <c r="A145" s="5" t="s">
        <v>3</v>
      </c>
      <c r="B145" s="5" t="s">
        <v>3</v>
      </c>
      <c r="C145" s="5" t="s">
        <v>819</v>
      </c>
      <c r="D145" s="6">
        <v>120.2</v>
      </c>
      <c r="E145" s="6">
        <v>0</v>
      </c>
      <c r="F145" s="6">
        <f>D145+E145</f>
        <v>120.2</v>
      </c>
      <c r="G145" s="5" t="s">
        <v>3</v>
      </c>
      <c r="H145" s="5" t="s">
        <v>3</v>
      </c>
    </row>
    <row r="146" spans="1:8" x14ac:dyDescent="0.25">
      <c r="A146" s="5" t="s">
        <v>3</v>
      </c>
      <c r="B146" s="5" t="s">
        <v>3</v>
      </c>
      <c r="C146" s="5" t="s">
        <v>820</v>
      </c>
      <c r="D146" s="6">
        <v>118.92</v>
      </c>
      <c r="E146" s="6">
        <v>0</v>
      </c>
      <c r="F146" s="6">
        <f>D146+E146</f>
        <v>118.92</v>
      </c>
      <c r="G146" s="5" t="s">
        <v>3</v>
      </c>
      <c r="H146" s="5" t="s">
        <v>3</v>
      </c>
    </row>
    <row r="147" spans="1:8" x14ac:dyDescent="0.25">
      <c r="A147" s="5" t="s">
        <v>3</v>
      </c>
      <c r="B147" s="5" t="s">
        <v>3</v>
      </c>
      <c r="C147" s="5" t="s">
        <v>821</v>
      </c>
      <c r="D147" s="6">
        <v>116.95</v>
      </c>
      <c r="E147" s="6">
        <v>0</v>
      </c>
      <c r="F147" s="6">
        <f>D147+E147</f>
        <v>116.95</v>
      </c>
      <c r="G147" s="5" t="s">
        <v>3</v>
      </c>
      <c r="H147" s="5" t="s">
        <v>3</v>
      </c>
    </row>
    <row r="148" spans="1:8" x14ac:dyDescent="0.25">
      <c r="A148" s="5" t="s">
        <v>3</v>
      </c>
      <c r="B148" s="5" t="s">
        <v>3</v>
      </c>
      <c r="C148" s="5" t="s">
        <v>822</v>
      </c>
      <c r="D148" s="6">
        <v>103.87</v>
      </c>
      <c r="E148" s="6">
        <v>0</v>
      </c>
      <c r="F148" s="6">
        <f>D148+E148</f>
        <v>103.87</v>
      </c>
      <c r="G148" s="5" t="s">
        <v>3</v>
      </c>
      <c r="H148" s="5" t="s">
        <v>3</v>
      </c>
    </row>
    <row r="149" spans="1:8" x14ac:dyDescent="0.25">
      <c r="A149" s="5" t="s">
        <v>3</v>
      </c>
      <c r="B149" s="5" t="s">
        <v>3</v>
      </c>
      <c r="C149" s="5" t="s">
        <v>823</v>
      </c>
      <c r="D149" s="6">
        <v>90.04</v>
      </c>
      <c r="E149" s="6">
        <v>0</v>
      </c>
      <c r="F149" s="6">
        <f>D149+E149</f>
        <v>90.04</v>
      </c>
      <c r="G149" s="5" t="s">
        <v>3</v>
      </c>
      <c r="H149" s="5" t="s">
        <v>3</v>
      </c>
    </row>
    <row r="150" spans="1:8" x14ac:dyDescent="0.25">
      <c r="A150" s="24" t="s">
        <v>398</v>
      </c>
      <c r="B150" s="24" t="s">
        <v>399</v>
      </c>
      <c r="C150" s="24" t="s">
        <v>499</v>
      </c>
      <c r="D150" s="27">
        <f>SUM(D151:D152)</f>
        <v>564.5</v>
      </c>
      <c r="E150" s="27">
        <f>SUM(E151:E152)</f>
        <v>0</v>
      </c>
      <c r="F150" s="27">
        <f>SUM(F151:F152)</f>
        <v>564.5</v>
      </c>
      <c r="G150" s="24" t="s">
        <v>3</v>
      </c>
      <c r="H150" s="24" t="s">
        <v>3</v>
      </c>
    </row>
    <row r="151" spans="1:8" x14ac:dyDescent="0.25">
      <c r="A151" s="5" t="s">
        <v>3</v>
      </c>
      <c r="B151" s="5" t="s">
        <v>3</v>
      </c>
      <c r="C151" s="5" t="s">
        <v>824</v>
      </c>
      <c r="D151" s="6">
        <v>537.5</v>
      </c>
      <c r="E151" s="6">
        <v>0</v>
      </c>
      <c r="F151" s="6">
        <f>D151+E151</f>
        <v>537.5</v>
      </c>
      <c r="G151" s="5" t="s">
        <v>3</v>
      </c>
      <c r="H151" s="5" t="s">
        <v>3</v>
      </c>
    </row>
    <row r="152" spans="1:8" x14ac:dyDescent="0.25">
      <c r="A152" s="5" t="s">
        <v>3</v>
      </c>
      <c r="B152" s="5" t="s">
        <v>3</v>
      </c>
      <c r="C152" s="5" t="s">
        <v>815</v>
      </c>
      <c r="D152" s="6">
        <v>27</v>
      </c>
      <c r="E152" s="6">
        <v>0</v>
      </c>
      <c r="F152" s="6">
        <f>D152+E152</f>
        <v>27</v>
      </c>
      <c r="G152" s="5" t="s">
        <v>3</v>
      </c>
      <c r="H152" s="5" t="s">
        <v>3</v>
      </c>
    </row>
    <row r="153" spans="1:8" x14ac:dyDescent="0.25">
      <c r="A153" s="24" t="s">
        <v>400</v>
      </c>
      <c r="B153" s="24" t="s">
        <v>401</v>
      </c>
      <c r="C153" s="24" t="s">
        <v>499</v>
      </c>
      <c r="D153" s="27">
        <f>SUM(D154:D156)</f>
        <v>182073.72</v>
      </c>
      <c r="E153" s="27">
        <f>SUM(E154:E156)</f>
        <v>0</v>
      </c>
      <c r="F153" s="27">
        <f>SUM(F154:F156)</f>
        <v>182073.72</v>
      </c>
      <c r="G153" s="24" t="s">
        <v>3</v>
      </c>
      <c r="H153" s="24" t="s">
        <v>3</v>
      </c>
    </row>
    <row r="154" spans="1:8" x14ac:dyDescent="0.25">
      <c r="A154" s="5" t="s">
        <v>3</v>
      </c>
      <c r="B154" s="5" t="s">
        <v>3</v>
      </c>
      <c r="C154" s="5" t="s">
        <v>108</v>
      </c>
      <c r="D154" s="6">
        <v>179504</v>
      </c>
      <c r="E154" s="6">
        <v>0</v>
      </c>
      <c r="F154" s="6">
        <f>D154+E154</f>
        <v>179504</v>
      </c>
      <c r="G154" s="5" t="s">
        <v>3</v>
      </c>
      <c r="H154" s="5" t="s">
        <v>825</v>
      </c>
    </row>
    <row r="155" spans="1:8" x14ac:dyDescent="0.25">
      <c r="A155" s="5" t="s">
        <v>3</v>
      </c>
      <c r="B155" s="5" t="s">
        <v>3</v>
      </c>
      <c r="C155" s="5" t="s">
        <v>826</v>
      </c>
      <c r="D155" s="6">
        <v>1877.53</v>
      </c>
      <c r="E155" s="6">
        <v>0</v>
      </c>
      <c r="F155" s="6">
        <f>D155+E155</f>
        <v>1877.53</v>
      </c>
      <c r="G155" s="5" t="s">
        <v>3</v>
      </c>
      <c r="H155" s="5" t="s">
        <v>3</v>
      </c>
    </row>
    <row r="156" spans="1:8" x14ac:dyDescent="0.25">
      <c r="A156" s="5" t="s">
        <v>3</v>
      </c>
      <c r="B156" s="5" t="s">
        <v>3</v>
      </c>
      <c r="C156" s="5" t="s">
        <v>624</v>
      </c>
      <c r="D156" s="6">
        <v>692.19</v>
      </c>
      <c r="E156" s="6">
        <v>0</v>
      </c>
      <c r="F156" s="6">
        <f>D156+E156</f>
        <v>692.19</v>
      </c>
      <c r="G156" s="5" t="s">
        <v>3</v>
      </c>
      <c r="H156" s="5" t="s">
        <v>3</v>
      </c>
    </row>
    <row r="157" spans="1:8" x14ac:dyDescent="0.25">
      <c r="A157" s="24" t="s">
        <v>410</v>
      </c>
      <c r="B157" s="24" t="s">
        <v>411</v>
      </c>
      <c r="C157" s="24" t="s">
        <v>499</v>
      </c>
      <c r="D157" s="27">
        <f>SUM(D158:D163)</f>
        <v>7452.94</v>
      </c>
      <c r="E157" s="27">
        <f>SUM(E158:E163)</f>
        <v>0</v>
      </c>
      <c r="F157" s="27">
        <f>SUM(F158:F163)</f>
        <v>7452.94</v>
      </c>
      <c r="G157" s="24" t="s">
        <v>3</v>
      </c>
      <c r="H157" s="24" t="s">
        <v>3</v>
      </c>
    </row>
    <row r="158" spans="1:8" x14ac:dyDescent="0.25">
      <c r="A158" s="5" t="s">
        <v>3</v>
      </c>
      <c r="B158" s="5" t="s">
        <v>3</v>
      </c>
      <c r="C158" s="5" t="s">
        <v>644</v>
      </c>
      <c r="D158" s="6">
        <v>4754.31</v>
      </c>
      <c r="E158" s="6">
        <v>0</v>
      </c>
      <c r="F158" s="6">
        <f>D158+E158</f>
        <v>4754.31</v>
      </c>
      <c r="G158" s="5" t="s">
        <v>3</v>
      </c>
      <c r="H158" s="5" t="s">
        <v>3</v>
      </c>
    </row>
    <row r="159" spans="1:8" x14ac:dyDescent="0.25">
      <c r="A159" s="5" t="s">
        <v>3</v>
      </c>
      <c r="B159" s="5" t="s">
        <v>3</v>
      </c>
      <c r="C159" s="5" t="s">
        <v>827</v>
      </c>
      <c r="D159" s="6">
        <v>1565.81</v>
      </c>
      <c r="E159" s="6">
        <v>0</v>
      </c>
      <c r="F159" s="6">
        <f>D159+E159</f>
        <v>1565.81</v>
      </c>
      <c r="G159" s="5" t="s">
        <v>3</v>
      </c>
      <c r="H159" s="5" t="s">
        <v>3</v>
      </c>
    </row>
    <row r="160" spans="1:8" x14ac:dyDescent="0.25">
      <c r="A160" s="5" t="s">
        <v>3</v>
      </c>
      <c r="B160" s="5" t="s">
        <v>3</v>
      </c>
      <c r="C160" s="5" t="s">
        <v>828</v>
      </c>
      <c r="D160" s="6">
        <v>678.42</v>
      </c>
      <c r="E160" s="6">
        <v>0</v>
      </c>
      <c r="F160" s="6">
        <f>D160+E160</f>
        <v>678.42</v>
      </c>
      <c r="G160" s="5" t="s">
        <v>3</v>
      </c>
      <c r="H160" s="5" t="s">
        <v>3</v>
      </c>
    </row>
    <row r="161" spans="1:8" x14ac:dyDescent="0.25">
      <c r="A161" s="5" t="s">
        <v>3</v>
      </c>
      <c r="B161" s="5" t="s">
        <v>3</v>
      </c>
      <c r="C161" s="5" t="s">
        <v>646</v>
      </c>
      <c r="D161" s="6">
        <v>302.46</v>
      </c>
      <c r="E161" s="6">
        <v>0</v>
      </c>
      <c r="F161" s="6">
        <f>D161+E161</f>
        <v>302.46</v>
      </c>
      <c r="G161" s="5" t="s">
        <v>3</v>
      </c>
      <c r="H161" s="5" t="s">
        <v>3</v>
      </c>
    </row>
    <row r="162" spans="1:8" x14ac:dyDescent="0.25">
      <c r="A162" s="5" t="s">
        <v>3</v>
      </c>
      <c r="B162" s="5" t="s">
        <v>3</v>
      </c>
      <c r="C162" s="5" t="s">
        <v>829</v>
      </c>
      <c r="D162" s="6">
        <v>101.96</v>
      </c>
      <c r="E162" s="6">
        <v>0</v>
      </c>
      <c r="F162" s="6">
        <f>D162+E162</f>
        <v>101.96</v>
      </c>
      <c r="G162" s="5" t="s">
        <v>3</v>
      </c>
      <c r="H162" s="5" t="s">
        <v>3</v>
      </c>
    </row>
    <row r="163" spans="1:8" x14ac:dyDescent="0.25">
      <c r="A163" s="5" t="s">
        <v>3</v>
      </c>
      <c r="B163" s="5" t="s">
        <v>3</v>
      </c>
      <c r="C163" s="5" t="s">
        <v>650</v>
      </c>
      <c r="D163" s="6">
        <v>49.98</v>
      </c>
      <c r="E163" s="6">
        <v>0</v>
      </c>
      <c r="F163" s="6">
        <f>D163+E163</f>
        <v>49.98</v>
      </c>
      <c r="G163" s="5" t="s">
        <v>3</v>
      </c>
      <c r="H163" s="5" t="s">
        <v>3</v>
      </c>
    </row>
    <row r="164" spans="1:8" x14ac:dyDescent="0.25">
      <c r="A164" s="24" t="s">
        <v>414</v>
      </c>
      <c r="B164" s="24" t="s">
        <v>415</v>
      </c>
      <c r="C164" s="24" t="s">
        <v>499</v>
      </c>
      <c r="D164" s="27">
        <f>SUM(D165:D167)</f>
        <v>4544.97</v>
      </c>
      <c r="E164" s="27">
        <f>SUM(E165:E167)</f>
        <v>0</v>
      </c>
      <c r="F164" s="27">
        <f>SUM(F165:F167)</f>
        <v>4544.97</v>
      </c>
      <c r="G164" s="24" t="s">
        <v>3</v>
      </c>
      <c r="H164" s="24" t="s">
        <v>3</v>
      </c>
    </row>
    <row r="165" spans="1:8" x14ac:dyDescent="0.25">
      <c r="A165" s="5" t="s">
        <v>3</v>
      </c>
      <c r="B165" s="5" t="s">
        <v>3</v>
      </c>
      <c r="C165" s="5" t="s">
        <v>598</v>
      </c>
      <c r="D165" s="6">
        <v>3820.63</v>
      </c>
      <c r="E165" s="6">
        <v>0</v>
      </c>
      <c r="F165" s="6">
        <f>D165+E165</f>
        <v>3820.63</v>
      </c>
      <c r="G165" s="5" t="s">
        <v>3</v>
      </c>
      <c r="H165" s="5" t="s">
        <v>3</v>
      </c>
    </row>
    <row r="166" spans="1:8" x14ac:dyDescent="0.25">
      <c r="A166" s="5" t="s">
        <v>3</v>
      </c>
      <c r="B166" s="5" t="s">
        <v>3</v>
      </c>
      <c r="C166" s="5" t="s">
        <v>830</v>
      </c>
      <c r="D166" s="6">
        <v>404.74</v>
      </c>
      <c r="E166" s="6">
        <v>0</v>
      </c>
      <c r="F166" s="6">
        <f>D166+E166</f>
        <v>404.74</v>
      </c>
      <c r="G166" s="5" t="s">
        <v>3</v>
      </c>
      <c r="H166" s="5" t="s">
        <v>3</v>
      </c>
    </row>
    <row r="167" spans="1:8" x14ac:dyDescent="0.25">
      <c r="A167" s="5" t="s">
        <v>3</v>
      </c>
      <c r="B167" s="5" t="s">
        <v>3</v>
      </c>
      <c r="C167" s="5" t="s">
        <v>831</v>
      </c>
      <c r="D167" s="6">
        <v>319.6</v>
      </c>
      <c r="E167" s="6">
        <v>0</v>
      </c>
      <c r="F167" s="6">
        <f>D167+E167</f>
        <v>319.6</v>
      </c>
      <c r="G167" s="5" t="s">
        <v>3</v>
      </c>
      <c r="H167" s="5" t="s">
        <v>3</v>
      </c>
    </row>
    <row r="168" spans="1:8" x14ac:dyDescent="0.25">
      <c r="A168" s="24" t="s">
        <v>416</v>
      </c>
      <c r="B168" s="24" t="s">
        <v>417</v>
      </c>
      <c r="C168" s="24" t="s">
        <v>499</v>
      </c>
      <c r="D168" s="27">
        <f>SUM(D169:D169)</f>
        <v>1177.8</v>
      </c>
      <c r="E168" s="27">
        <f>SUM(E169:E169)</f>
        <v>0</v>
      </c>
      <c r="F168" s="27">
        <f>SUM(F169:F169)</f>
        <v>1177.8</v>
      </c>
      <c r="G168" s="24" t="s">
        <v>3</v>
      </c>
      <c r="H168" s="24" t="s">
        <v>3</v>
      </c>
    </row>
    <row r="169" spans="1:8" x14ac:dyDescent="0.25">
      <c r="A169" s="5" t="s">
        <v>3</v>
      </c>
      <c r="B169" s="5" t="s">
        <v>3</v>
      </c>
      <c r="C169" s="5" t="s">
        <v>832</v>
      </c>
      <c r="D169" s="6">
        <v>1177.8</v>
      </c>
      <c r="E169" s="6">
        <v>0</v>
      </c>
      <c r="F169" s="6">
        <f>D169+E169</f>
        <v>1177.8</v>
      </c>
      <c r="G169" s="5" t="s">
        <v>3</v>
      </c>
      <c r="H169" s="5" t="s">
        <v>3</v>
      </c>
    </row>
    <row r="170" spans="1:8" x14ac:dyDescent="0.25">
      <c r="A170" s="24" t="s">
        <v>418</v>
      </c>
      <c r="B170" s="24" t="s">
        <v>419</v>
      </c>
      <c r="C170" s="24" t="s">
        <v>499</v>
      </c>
      <c r="D170" s="27">
        <f>SUM(D171:D211)</f>
        <v>411811.06</v>
      </c>
      <c r="E170" s="27">
        <f>SUM(E171:E211)</f>
        <v>-144317.28</v>
      </c>
      <c r="F170" s="27">
        <f>SUM(F171:F211)</f>
        <v>267493.78</v>
      </c>
      <c r="G170" s="24" t="s">
        <v>3</v>
      </c>
      <c r="H170" s="24" t="s">
        <v>3</v>
      </c>
    </row>
    <row r="171" spans="1:8" x14ac:dyDescent="0.25">
      <c r="A171" s="5" t="s">
        <v>3</v>
      </c>
      <c r="B171" s="5" t="s">
        <v>3</v>
      </c>
      <c r="C171" s="5" t="s">
        <v>121</v>
      </c>
      <c r="D171" s="6">
        <v>35199</v>
      </c>
      <c r="E171" s="14">
        <v>-35199</v>
      </c>
      <c r="F171" s="6">
        <f>D171+E171</f>
        <v>0</v>
      </c>
      <c r="G171" s="15" t="s">
        <v>787</v>
      </c>
      <c r="H171" s="5" t="s">
        <v>3</v>
      </c>
    </row>
    <row r="172" spans="1:8" x14ac:dyDescent="0.25">
      <c r="A172" s="5" t="s">
        <v>3</v>
      </c>
      <c r="B172" s="5" t="s">
        <v>3</v>
      </c>
      <c r="C172" s="5" t="s">
        <v>128</v>
      </c>
      <c r="D172" s="6">
        <v>26000</v>
      </c>
      <c r="E172" s="14">
        <v>-26000</v>
      </c>
      <c r="F172" s="6">
        <f>D172+E172</f>
        <v>0</v>
      </c>
      <c r="G172" s="15" t="s">
        <v>776</v>
      </c>
      <c r="H172" s="5" t="s">
        <v>3</v>
      </c>
    </row>
    <row r="173" spans="1:8" x14ac:dyDescent="0.25">
      <c r="A173" s="5" t="s">
        <v>3</v>
      </c>
      <c r="B173" s="5" t="s">
        <v>3</v>
      </c>
      <c r="C173" s="5" t="s">
        <v>72</v>
      </c>
      <c r="D173" s="6">
        <v>20000</v>
      </c>
      <c r="E173" s="14">
        <v>-20000</v>
      </c>
      <c r="F173" s="6">
        <f>D173+E173</f>
        <v>0</v>
      </c>
      <c r="G173" s="15" t="s">
        <v>777</v>
      </c>
      <c r="H173" s="5" t="s">
        <v>3</v>
      </c>
    </row>
    <row r="174" spans="1:8" x14ac:dyDescent="0.25">
      <c r="A174" s="5" t="s">
        <v>3</v>
      </c>
      <c r="B174" s="5" t="s">
        <v>3</v>
      </c>
      <c r="C174" s="5" t="s">
        <v>53</v>
      </c>
      <c r="D174" s="6">
        <v>19000</v>
      </c>
      <c r="E174" s="14">
        <v>-19000</v>
      </c>
      <c r="F174" s="6">
        <f>D174+E174</f>
        <v>0</v>
      </c>
      <c r="G174" s="15" t="s">
        <v>779</v>
      </c>
      <c r="H174" s="5" t="s">
        <v>3</v>
      </c>
    </row>
    <row r="175" spans="1:8" x14ac:dyDescent="0.25">
      <c r="A175" s="5" t="s">
        <v>3</v>
      </c>
      <c r="B175" s="5" t="s">
        <v>3</v>
      </c>
      <c r="C175" s="5" t="s">
        <v>136</v>
      </c>
      <c r="D175" s="6">
        <v>19000</v>
      </c>
      <c r="E175" s="14">
        <v>-19000</v>
      </c>
      <c r="F175" s="6">
        <f>D175+E175</f>
        <v>0</v>
      </c>
      <c r="G175" s="15" t="s">
        <v>778</v>
      </c>
      <c r="H175" s="5" t="s">
        <v>3</v>
      </c>
    </row>
    <row r="176" spans="1:8" x14ac:dyDescent="0.25">
      <c r="A176" s="5" t="s">
        <v>3</v>
      </c>
      <c r="B176" s="5" t="s">
        <v>3</v>
      </c>
      <c r="C176" s="5" t="s">
        <v>138</v>
      </c>
      <c r="D176" s="6">
        <v>17500</v>
      </c>
      <c r="E176" s="14">
        <v>-17500</v>
      </c>
      <c r="F176" s="6">
        <f>D176+E176</f>
        <v>0</v>
      </c>
      <c r="G176" s="15" t="s">
        <v>780</v>
      </c>
      <c r="H176" s="5" t="s">
        <v>3</v>
      </c>
    </row>
    <row r="177" spans="1:8" x14ac:dyDescent="0.25">
      <c r="A177" s="5" t="s">
        <v>3</v>
      </c>
      <c r="B177" s="5" t="s">
        <v>3</v>
      </c>
      <c r="C177" s="5" t="s">
        <v>140</v>
      </c>
      <c r="D177" s="6">
        <v>7618.28</v>
      </c>
      <c r="E177" s="14">
        <v>-7618.28</v>
      </c>
      <c r="F177" s="6">
        <f>D177+E177</f>
        <v>0</v>
      </c>
      <c r="G177" s="15" t="s">
        <v>781</v>
      </c>
      <c r="H177" s="5" t="s">
        <v>3</v>
      </c>
    </row>
    <row r="178" spans="1:8" x14ac:dyDescent="0.25">
      <c r="A178" s="5" t="s">
        <v>3</v>
      </c>
      <c r="B178" s="5" t="s">
        <v>3</v>
      </c>
      <c r="C178" s="5" t="s">
        <v>680</v>
      </c>
      <c r="D178" s="6">
        <v>30000</v>
      </c>
      <c r="E178" s="6">
        <v>0</v>
      </c>
      <c r="F178" s="6">
        <f>D178+E178</f>
        <v>30000</v>
      </c>
      <c r="G178" s="5" t="s">
        <v>3</v>
      </c>
      <c r="H178" s="5" t="s">
        <v>3</v>
      </c>
    </row>
    <row r="179" spans="1:8" x14ac:dyDescent="0.25">
      <c r="A179" s="5" t="s">
        <v>3</v>
      </c>
      <c r="B179" s="5" t="s">
        <v>3</v>
      </c>
      <c r="C179" s="5" t="s">
        <v>681</v>
      </c>
      <c r="D179" s="6">
        <v>22937.2</v>
      </c>
      <c r="E179" s="6">
        <v>0</v>
      </c>
      <c r="F179" s="6">
        <f>D179+E179</f>
        <v>22937.2</v>
      </c>
      <c r="G179" s="5" t="s">
        <v>3</v>
      </c>
      <c r="H179" s="5" t="s">
        <v>3</v>
      </c>
    </row>
    <row r="180" spans="1:8" x14ac:dyDescent="0.25">
      <c r="A180" s="5" t="s">
        <v>3</v>
      </c>
      <c r="B180" s="5" t="s">
        <v>3</v>
      </c>
      <c r="C180" s="5" t="s">
        <v>55</v>
      </c>
      <c r="D180" s="6">
        <v>20000</v>
      </c>
      <c r="E180" s="6">
        <v>0</v>
      </c>
      <c r="F180" s="6">
        <f>D180+E180</f>
        <v>20000</v>
      </c>
      <c r="G180" s="5" t="s">
        <v>3</v>
      </c>
      <c r="H180" s="5" t="s">
        <v>3</v>
      </c>
    </row>
    <row r="181" spans="1:8" x14ac:dyDescent="0.25">
      <c r="A181" s="5" t="s">
        <v>3</v>
      </c>
      <c r="B181" s="5" t="s">
        <v>3</v>
      </c>
      <c r="C181" s="5" t="s">
        <v>833</v>
      </c>
      <c r="D181" s="6">
        <v>17651.61</v>
      </c>
      <c r="E181" s="6">
        <v>0</v>
      </c>
      <c r="F181" s="6">
        <f>D181+E181</f>
        <v>17651.61</v>
      </c>
      <c r="G181" s="5" t="s">
        <v>3</v>
      </c>
      <c r="H181" s="5" t="s">
        <v>3</v>
      </c>
    </row>
    <row r="182" spans="1:8" x14ac:dyDescent="0.25">
      <c r="A182" s="5" t="s">
        <v>3</v>
      </c>
      <c r="B182" s="5" t="s">
        <v>3</v>
      </c>
      <c r="C182" s="5" t="s">
        <v>79</v>
      </c>
      <c r="D182" s="6">
        <v>17500</v>
      </c>
      <c r="E182" s="6">
        <v>0</v>
      </c>
      <c r="F182" s="6">
        <f>D182+E182</f>
        <v>17500</v>
      </c>
      <c r="G182" s="5" t="s">
        <v>3</v>
      </c>
      <c r="H182" s="5" t="s">
        <v>3</v>
      </c>
    </row>
    <row r="183" spans="1:8" x14ac:dyDescent="0.25">
      <c r="A183" s="5" t="s">
        <v>3</v>
      </c>
      <c r="B183" s="5" t="s">
        <v>3</v>
      </c>
      <c r="C183" s="5" t="s">
        <v>77</v>
      </c>
      <c r="D183" s="6">
        <v>14000</v>
      </c>
      <c r="E183" s="6">
        <v>0</v>
      </c>
      <c r="F183" s="6">
        <f>D183+E183</f>
        <v>14000</v>
      </c>
      <c r="G183" s="5" t="s">
        <v>3</v>
      </c>
      <c r="H183" s="5" t="s">
        <v>3</v>
      </c>
    </row>
    <row r="184" spans="1:8" x14ac:dyDescent="0.25">
      <c r="A184" s="5" t="s">
        <v>3</v>
      </c>
      <c r="B184" s="5" t="s">
        <v>3</v>
      </c>
      <c r="C184" s="5" t="s">
        <v>197</v>
      </c>
      <c r="D184" s="6">
        <v>13500</v>
      </c>
      <c r="E184" s="6">
        <v>0</v>
      </c>
      <c r="F184" s="6">
        <f>D184+E184</f>
        <v>13500</v>
      </c>
      <c r="G184" s="5" t="s">
        <v>3</v>
      </c>
      <c r="H184" s="5" t="s">
        <v>3</v>
      </c>
    </row>
    <row r="185" spans="1:8" x14ac:dyDescent="0.25">
      <c r="A185" s="5" t="s">
        <v>3</v>
      </c>
      <c r="B185" s="5" t="s">
        <v>3</v>
      </c>
      <c r="C185" s="5" t="s">
        <v>559</v>
      </c>
      <c r="D185" s="6">
        <v>11868</v>
      </c>
      <c r="E185" s="6">
        <v>0</v>
      </c>
      <c r="F185" s="6">
        <f>D185+E185</f>
        <v>11868</v>
      </c>
      <c r="G185" s="5" t="s">
        <v>3</v>
      </c>
      <c r="H185" s="5" t="s">
        <v>3</v>
      </c>
    </row>
    <row r="186" spans="1:8" x14ac:dyDescent="0.25">
      <c r="A186" s="5" t="s">
        <v>3</v>
      </c>
      <c r="B186" s="5" t="s">
        <v>3</v>
      </c>
      <c r="C186" s="5" t="s">
        <v>308</v>
      </c>
      <c r="D186" s="6">
        <v>10000</v>
      </c>
      <c r="E186" s="6">
        <v>0</v>
      </c>
      <c r="F186" s="6">
        <f>D186+E186</f>
        <v>10000</v>
      </c>
      <c r="G186" s="5" t="s">
        <v>3</v>
      </c>
      <c r="H186" s="5" t="s">
        <v>3</v>
      </c>
    </row>
    <row r="187" spans="1:8" x14ac:dyDescent="0.25">
      <c r="A187" s="5" t="s">
        <v>3</v>
      </c>
      <c r="B187" s="5" t="s">
        <v>3</v>
      </c>
      <c r="C187" s="5" t="s">
        <v>834</v>
      </c>
      <c r="D187" s="6">
        <v>10000</v>
      </c>
      <c r="E187" s="6">
        <v>0</v>
      </c>
      <c r="F187" s="6">
        <f>D187+E187</f>
        <v>10000</v>
      </c>
      <c r="G187" s="5" t="s">
        <v>3</v>
      </c>
      <c r="H187" s="5" t="s">
        <v>3</v>
      </c>
    </row>
    <row r="188" spans="1:8" x14ac:dyDescent="0.25">
      <c r="A188" s="5" t="s">
        <v>3</v>
      </c>
      <c r="B188" s="5" t="s">
        <v>3</v>
      </c>
      <c r="C188" s="5" t="s">
        <v>669</v>
      </c>
      <c r="D188" s="6">
        <v>9916</v>
      </c>
      <c r="E188" s="6">
        <v>0</v>
      </c>
      <c r="F188" s="6">
        <f>D188+E188</f>
        <v>9916</v>
      </c>
      <c r="G188" s="5" t="s">
        <v>3</v>
      </c>
      <c r="H188" s="5" t="s">
        <v>3</v>
      </c>
    </row>
    <row r="189" spans="1:8" x14ac:dyDescent="0.25">
      <c r="A189" s="5" t="s">
        <v>3</v>
      </c>
      <c r="B189" s="5" t="s">
        <v>3</v>
      </c>
      <c r="C189" s="5" t="s">
        <v>835</v>
      </c>
      <c r="D189" s="6">
        <v>8612.9</v>
      </c>
      <c r="E189" s="6">
        <v>0</v>
      </c>
      <c r="F189" s="6">
        <f>D189+E189</f>
        <v>8612.9</v>
      </c>
      <c r="G189" s="5" t="s">
        <v>3</v>
      </c>
      <c r="H189" s="5" t="s">
        <v>3</v>
      </c>
    </row>
    <row r="190" spans="1:8" x14ac:dyDescent="0.25">
      <c r="A190" s="5" t="s">
        <v>3</v>
      </c>
      <c r="B190" s="5" t="s">
        <v>3</v>
      </c>
      <c r="C190" s="5" t="s">
        <v>520</v>
      </c>
      <c r="D190" s="6">
        <v>7200.2</v>
      </c>
      <c r="E190" s="6">
        <v>0</v>
      </c>
      <c r="F190" s="6">
        <f>D190+E190</f>
        <v>7200.2</v>
      </c>
      <c r="G190" s="5" t="s">
        <v>3</v>
      </c>
      <c r="H190" s="5" t="s">
        <v>3</v>
      </c>
    </row>
    <row r="191" spans="1:8" x14ac:dyDescent="0.25">
      <c r="A191" s="5" t="s">
        <v>3</v>
      </c>
      <c r="B191" s="5" t="s">
        <v>3</v>
      </c>
      <c r="C191" s="5" t="s">
        <v>220</v>
      </c>
      <c r="D191" s="6">
        <v>7200</v>
      </c>
      <c r="E191" s="6">
        <v>0</v>
      </c>
      <c r="F191" s="6">
        <f>D191+E191</f>
        <v>7200</v>
      </c>
      <c r="G191" s="5" t="s">
        <v>3</v>
      </c>
      <c r="H191" s="5" t="s">
        <v>3</v>
      </c>
    </row>
    <row r="192" spans="1:8" x14ac:dyDescent="0.25">
      <c r="A192" s="5" t="s">
        <v>3</v>
      </c>
      <c r="B192" s="5" t="s">
        <v>3</v>
      </c>
      <c r="C192" s="5" t="s">
        <v>836</v>
      </c>
      <c r="D192" s="6">
        <v>7199</v>
      </c>
      <c r="E192" s="6">
        <v>0</v>
      </c>
      <c r="F192" s="6">
        <f>D192+E192</f>
        <v>7199</v>
      </c>
      <c r="G192" s="5" t="s">
        <v>3</v>
      </c>
      <c r="H192" s="5" t="s">
        <v>3</v>
      </c>
    </row>
    <row r="193" spans="1:8" x14ac:dyDescent="0.25">
      <c r="A193" s="5" t="s">
        <v>3</v>
      </c>
      <c r="B193" s="5" t="s">
        <v>3</v>
      </c>
      <c r="C193" s="5" t="s">
        <v>837</v>
      </c>
      <c r="D193" s="6">
        <v>7000</v>
      </c>
      <c r="E193" s="6">
        <v>0</v>
      </c>
      <c r="F193" s="6">
        <f>D193+E193</f>
        <v>7000</v>
      </c>
      <c r="G193" s="5" t="s">
        <v>3</v>
      </c>
      <c r="H193" s="5" t="s">
        <v>3</v>
      </c>
    </row>
    <row r="194" spans="1:8" x14ac:dyDescent="0.25">
      <c r="A194" s="5" t="s">
        <v>3</v>
      </c>
      <c r="B194" s="5" t="s">
        <v>3</v>
      </c>
      <c r="C194" s="5" t="s">
        <v>735</v>
      </c>
      <c r="D194" s="6">
        <v>6990</v>
      </c>
      <c r="E194" s="6">
        <v>0</v>
      </c>
      <c r="F194" s="6">
        <f>D194+E194</f>
        <v>6990</v>
      </c>
      <c r="G194" s="5" t="s">
        <v>3</v>
      </c>
      <c r="H194" s="5" t="s">
        <v>3</v>
      </c>
    </row>
    <row r="195" spans="1:8" x14ac:dyDescent="0.25">
      <c r="A195" s="5" t="s">
        <v>3</v>
      </c>
      <c r="B195" s="5" t="s">
        <v>3</v>
      </c>
      <c r="C195" s="5" t="s">
        <v>727</v>
      </c>
      <c r="D195" s="6">
        <v>6659.28</v>
      </c>
      <c r="E195" s="6">
        <v>0</v>
      </c>
      <c r="F195" s="6">
        <f>D195+E195</f>
        <v>6659.28</v>
      </c>
      <c r="G195" s="5" t="s">
        <v>3</v>
      </c>
      <c r="H195" s="5" t="s">
        <v>3</v>
      </c>
    </row>
    <row r="196" spans="1:8" x14ac:dyDescent="0.25">
      <c r="A196" s="5" t="s">
        <v>3</v>
      </c>
      <c r="B196" s="5" t="s">
        <v>3</v>
      </c>
      <c r="C196" s="5" t="s">
        <v>838</v>
      </c>
      <c r="D196" s="6">
        <v>6000</v>
      </c>
      <c r="E196" s="6">
        <v>0</v>
      </c>
      <c r="F196" s="6">
        <f>D196+E196</f>
        <v>6000</v>
      </c>
      <c r="G196" s="5" t="s">
        <v>3</v>
      </c>
      <c r="H196" s="5" t="s">
        <v>3</v>
      </c>
    </row>
    <row r="197" spans="1:8" x14ac:dyDescent="0.25">
      <c r="A197" s="5" t="s">
        <v>3</v>
      </c>
      <c r="B197" s="5" t="s">
        <v>3</v>
      </c>
      <c r="C197" s="5" t="s">
        <v>663</v>
      </c>
      <c r="D197" s="6">
        <v>5000</v>
      </c>
      <c r="E197" s="6">
        <v>0</v>
      </c>
      <c r="F197" s="6">
        <f>D197+E197</f>
        <v>5000</v>
      </c>
      <c r="G197" s="5" t="s">
        <v>3</v>
      </c>
      <c r="H197" s="5" t="s">
        <v>3</v>
      </c>
    </row>
    <row r="198" spans="1:8" x14ac:dyDescent="0.25">
      <c r="A198" s="5" t="s">
        <v>3</v>
      </c>
      <c r="B198" s="5" t="s">
        <v>3</v>
      </c>
      <c r="C198" s="5" t="s">
        <v>590</v>
      </c>
      <c r="D198" s="6">
        <v>4422.29</v>
      </c>
      <c r="E198" s="6">
        <v>0</v>
      </c>
      <c r="F198" s="6">
        <f>D198+E198</f>
        <v>4422.29</v>
      </c>
      <c r="G198" s="5" t="s">
        <v>3</v>
      </c>
      <c r="H198" s="5" t="s">
        <v>3</v>
      </c>
    </row>
    <row r="199" spans="1:8" x14ac:dyDescent="0.25">
      <c r="A199" s="5" t="s">
        <v>3</v>
      </c>
      <c r="B199" s="5" t="s">
        <v>3</v>
      </c>
      <c r="C199" s="5" t="s">
        <v>733</v>
      </c>
      <c r="D199" s="6">
        <v>4357.8</v>
      </c>
      <c r="E199" s="6">
        <v>0</v>
      </c>
      <c r="F199" s="6">
        <f>D199+E199</f>
        <v>4357.8</v>
      </c>
      <c r="G199" s="5" t="s">
        <v>3</v>
      </c>
      <c r="H199" s="5" t="s">
        <v>3</v>
      </c>
    </row>
    <row r="200" spans="1:8" x14ac:dyDescent="0.25">
      <c r="A200" s="5" t="s">
        <v>3</v>
      </c>
      <c r="B200" s="5" t="s">
        <v>3</v>
      </c>
      <c r="C200" s="5" t="s">
        <v>732</v>
      </c>
      <c r="D200" s="6">
        <v>4000</v>
      </c>
      <c r="E200" s="6">
        <v>0</v>
      </c>
      <c r="F200" s="6">
        <f>D200+E200</f>
        <v>4000</v>
      </c>
      <c r="G200" s="5" t="s">
        <v>3</v>
      </c>
      <c r="H200" s="5" t="s">
        <v>3</v>
      </c>
    </row>
    <row r="201" spans="1:8" x14ac:dyDescent="0.25">
      <c r="A201" s="5" t="s">
        <v>3</v>
      </c>
      <c r="B201" s="5" t="s">
        <v>3</v>
      </c>
      <c r="C201" s="5" t="s">
        <v>839</v>
      </c>
      <c r="D201" s="6">
        <v>3800</v>
      </c>
      <c r="E201" s="6">
        <v>0</v>
      </c>
      <c r="F201" s="6">
        <f>D201+E201</f>
        <v>3800</v>
      </c>
      <c r="G201" s="5" t="s">
        <v>3</v>
      </c>
      <c r="H201" s="5" t="s">
        <v>3</v>
      </c>
    </row>
    <row r="202" spans="1:8" x14ac:dyDescent="0.25">
      <c r="A202" s="5" t="s">
        <v>3</v>
      </c>
      <c r="B202" s="5" t="s">
        <v>3</v>
      </c>
      <c r="C202" s="5" t="s">
        <v>729</v>
      </c>
      <c r="D202" s="6">
        <v>3127.8</v>
      </c>
      <c r="E202" s="6">
        <v>0</v>
      </c>
      <c r="F202" s="6">
        <f>D202+E202</f>
        <v>3127.8</v>
      </c>
      <c r="G202" s="5" t="s">
        <v>3</v>
      </c>
      <c r="H202" s="5" t="s">
        <v>3</v>
      </c>
    </row>
    <row r="203" spans="1:8" x14ac:dyDescent="0.25">
      <c r="A203" s="5" t="s">
        <v>3</v>
      </c>
      <c r="B203" s="5" t="s">
        <v>3</v>
      </c>
      <c r="C203" s="5" t="s">
        <v>558</v>
      </c>
      <c r="D203" s="6">
        <v>2948</v>
      </c>
      <c r="E203" s="6">
        <v>0</v>
      </c>
      <c r="F203" s="6">
        <f>D203+E203</f>
        <v>2948</v>
      </c>
      <c r="G203" s="5" t="s">
        <v>3</v>
      </c>
      <c r="H203" s="5" t="s">
        <v>3</v>
      </c>
    </row>
    <row r="204" spans="1:8" x14ac:dyDescent="0.25">
      <c r="A204" s="5" t="s">
        <v>3</v>
      </c>
      <c r="B204" s="5" t="s">
        <v>3</v>
      </c>
      <c r="C204" s="5" t="s">
        <v>840</v>
      </c>
      <c r="D204" s="6">
        <v>2000</v>
      </c>
      <c r="E204" s="6">
        <v>0</v>
      </c>
      <c r="F204" s="6">
        <f>D204+E204</f>
        <v>2000</v>
      </c>
      <c r="G204" s="5" t="s">
        <v>3</v>
      </c>
      <c r="H204" s="5" t="s">
        <v>3</v>
      </c>
    </row>
    <row r="205" spans="1:8" x14ac:dyDescent="0.25">
      <c r="A205" s="5" t="s">
        <v>3</v>
      </c>
      <c r="B205" s="5" t="s">
        <v>3</v>
      </c>
      <c r="C205" s="5" t="s">
        <v>68</v>
      </c>
      <c r="D205" s="6">
        <v>700</v>
      </c>
      <c r="E205" s="6">
        <v>0</v>
      </c>
      <c r="F205" s="6">
        <f>D205+E205</f>
        <v>700</v>
      </c>
      <c r="G205" s="5" t="s">
        <v>3</v>
      </c>
      <c r="H205" s="5" t="s">
        <v>3</v>
      </c>
    </row>
    <row r="206" spans="1:8" x14ac:dyDescent="0.25">
      <c r="A206" s="5" t="s">
        <v>3</v>
      </c>
      <c r="B206" s="5" t="s">
        <v>3</v>
      </c>
      <c r="C206" s="5" t="s">
        <v>841</v>
      </c>
      <c r="D206" s="6">
        <v>676</v>
      </c>
      <c r="E206" s="6">
        <v>0</v>
      </c>
      <c r="F206" s="6">
        <f>D206+E206</f>
        <v>676</v>
      </c>
      <c r="G206" s="5" t="s">
        <v>3</v>
      </c>
      <c r="H206" s="5" t="s">
        <v>3</v>
      </c>
    </row>
    <row r="207" spans="1:8" x14ac:dyDescent="0.25">
      <c r="A207" s="5" t="s">
        <v>3</v>
      </c>
      <c r="B207" s="5" t="s">
        <v>3</v>
      </c>
      <c r="C207" s="5" t="s">
        <v>842</v>
      </c>
      <c r="D207" s="6">
        <v>638</v>
      </c>
      <c r="E207" s="6">
        <v>0</v>
      </c>
      <c r="F207" s="6">
        <f>D207+E207</f>
        <v>638</v>
      </c>
      <c r="G207" s="5" t="s">
        <v>3</v>
      </c>
      <c r="H207" s="5" t="s">
        <v>3</v>
      </c>
    </row>
    <row r="208" spans="1:8" x14ac:dyDescent="0.25">
      <c r="A208" s="5" t="s">
        <v>3</v>
      </c>
      <c r="B208" s="5" t="s">
        <v>3</v>
      </c>
      <c r="C208" s="5" t="s">
        <v>643</v>
      </c>
      <c r="D208" s="6">
        <v>480</v>
      </c>
      <c r="E208" s="6">
        <v>0</v>
      </c>
      <c r="F208" s="6">
        <f>D208+E208</f>
        <v>480</v>
      </c>
      <c r="G208" s="5" t="s">
        <v>3</v>
      </c>
      <c r="H208" s="5" t="s">
        <v>3</v>
      </c>
    </row>
    <row r="209" spans="1:8" x14ac:dyDescent="0.25">
      <c r="A209" s="5" t="s">
        <v>3</v>
      </c>
      <c r="B209" s="5" t="s">
        <v>3</v>
      </c>
      <c r="C209" s="5" t="s">
        <v>70</v>
      </c>
      <c r="D209" s="6">
        <v>436.5</v>
      </c>
      <c r="E209" s="6">
        <v>0</v>
      </c>
      <c r="F209" s="6">
        <f>D209+E209</f>
        <v>436.5</v>
      </c>
      <c r="G209" s="5" t="s">
        <v>3</v>
      </c>
      <c r="H209" s="5" t="s">
        <v>3</v>
      </c>
    </row>
    <row r="210" spans="1:8" x14ac:dyDescent="0.25">
      <c r="A210" s="5" t="s">
        <v>3</v>
      </c>
      <c r="B210" s="5" t="s">
        <v>3</v>
      </c>
      <c r="C210" s="5" t="s">
        <v>635</v>
      </c>
      <c r="D210" s="6">
        <v>375</v>
      </c>
      <c r="E210" s="6">
        <v>0</v>
      </c>
      <c r="F210" s="6">
        <f>D210+E210</f>
        <v>375</v>
      </c>
      <c r="G210" s="5" t="s">
        <v>3</v>
      </c>
      <c r="H210" s="5" t="s">
        <v>3</v>
      </c>
    </row>
    <row r="211" spans="1:8" x14ac:dyDescent="0.25">
      <c r="A211" s="5" t="s">
        <v>3</v>
      </c>
      <c r="B211" s="5" t="s">
        <v>3</v>
      </c>
      <c r="C211" s="5" t="s">
        <v>702</v>
      </c>
      <c r="D211" s="6">
        <v>298.2</v>
      </c>
      <c r="E211" s="6">
        <v>0</v>
      </c>
      <c r="F211" s="6">
        <f>D211+E211</f>
        <v>298.2</v>
      </c>
      <c r="G211" s="5" t="s">
        <v>3</v>
      </c>
      <c r="H211" s="5" t="s">
        <v>3</v>
      </c>
    </row>
    <row r="212" spans="1:8" x14ac:dyDescent="0.25">
      <c r="A212" s="24" t="s">
        <v>422</v>
      </c>
      <c r="B212" s="24" t="s">
        <v>423</v>
      </c>
      <c r="C212" s="24" t="s">
        <v>499</v>
      </c>
      <c r="D212" s="27">
        <f>SUM(D213:D214)</f>
        <v>2060</v>
      </c>
      <c r="E212" s="27">
        <f>SUM(E213:E214)</f>
        <v>0</v>
      </c>
      <c r="F212" s="27">
        <f>SUM(F213:F214)</f>
        <v>2060</v>
      </c>
      <c r="G212" s="24" t="s">
        <v>3</v>
      </c>
      <c r="H212" s="24" t="s">
        <v>3</v>
      </c>
    </row>
    <row r="213" spans="1:8" x14ac:dyDescent="0.25">
      <c r="A213" s="5" t="s">
        <v>3</v>
      </c>
      <c r="B213" s="5" t="s">
        <v>3</v>
      </c>
      <c r="C213" s="5" t="s">
        <v>655</v>
      </c>
      <c r="D213" s="6">
        <v>1800</v>
      </c>
      <c r="E213" s="6">
        <v>0</v>
      </c>
      <c r="F213" s="6">
        <f>D213+E213</f>
        <v>1800</v>
      </c>
      <c r="G213" s="5" t="s">
        <v>3</v>
      </c>
      <c r="H213" s="5" t="s">
        <v>3</v>
      </c>
    </row>
    <row r="214" spans="1:8" x14ac:dyDescent="0.25">
      <c r="A214" s="5" t="s">
        <v>3</v>
      </c>
      <c r="B214" s="5" t="s">
        <v>3</v>
      </c>
      <c r="C214" s="5" t="s">
        <v>843</v>
      </c>
      <c r="D214" s="6">
        <v>260</v>
      </c>
      <c r="E214" s="6">
        <v>0</v>
      </c>
      <c r="F214" s="6">
        <f>D214+E214</f>
        <v>260</v>
      </c>
      <c r="G214" s="5" t="s">
        <v>3</v>
      </c>
      <c r="H214" s="5" t="s">
        <v>3</v>
      </c>
    </row>
    <row r="215" spans="1:8" x14ac:dyDescent="0.25">
      <c r="A215" s="24" t="s">
        <v>424</v>
      </c>
      <c r="B215" s="24" t="s">
        <v>425</v>
      </c>
      <c r="C215" s="24" t="s">
        <v>499</v>
      </c>
      <c r="D215" s="27">
        <f>SUM(D216:D216)</f>
        <v>587911.77</v>
      </c>
      <c r="E215" s="27">
        <f>SUM(E216:E216)</f>
        <v>0</v>
      </c>
      <c r="F215" s="27">
        <f>SUM(F216:F216)</f>
        <v>587911.77</v>
      </c>
      <c r="G215" s="24" t="s">
        <v>3</v>
      </c>
      <c r="H215" s="24" t="s">
        <v>3</v>
      </c>
    </row>
    <row r="216" spans="1:8" x14ac:dyDescent="0.25">
      <c r="A216" s="5" t="s">
        <v>3</v>
      </c>
      <c r="B216" s="5" t="s">
        <v>3</v>
      </c>
      <c r="C216" s="5" t="s">
        <v>657</v>
      </c>
      <c r="D216" s="6">
        <v>587911.77</v>
      </c>
      <c r="E216" s="6">
        <v>0</v>
      </c>
      <c r="F216" s="6">
        <f>D216+E216</f>
        <v>587911.77</v>
      </c>
      <c r="G216" s="5" t="s">
        <v>3</v>
      </c>
      <c r="H216" s="5" t="s">
        <v>3</v>
      </c>
    </row>
    <row r="217" spans="1:8" x14ac:dyDescent="0.25">
      <c r="A217" s="24" t="s">
        <v>426</v>
      </c>
      <c r="B217" s="24" t="s">
        <v>427</v>
      </c>
      <c r="C217" s="24" t="s">
        <v>499</v>
      </c>
      <c r="D217" s="27">
        <f>SUM(D218:D218)</f>
        <v>127102.17</v>
      </c>
      <c r="E217" s="27">
        <f>SUM(E218:E218)</f>
        <v>0</v>
      </c>
      <c r="F217" s="27">
        <f>SUM(F218:F218)</f>
        <v>127102.17</v>
      </c>
      <c r="G217" s="24" t="s">
        <v>3</v>
      </c>
      <c r="H217" s="24" t="s">
        <v>3</v>
      </c>
    </row>
    <row r="218" spans="1:8" x14ac:dyDescent="0.25">
      <c r="A218" s="5" t="s">
        <v>3</v>
      </c>
      <c r="B218" s="5" t="s">
        <v>3</v>
      </c>
      <c r="C218" s="5" t="s">
        <v>658</v>
      </c>
      <c r="D218" s="6">
        <v>127102.17</v>
      </c>
      <c r="E218" s="6">
        <v>0</v>
      </c>
      <c r="F218" s="6">
        <f>D218+E218</f>
        <v>127102.17</v>
      </c>
      <c r="G218" s="5" t="s">
        <v>3</v>
      </c>
      <c r="H218" s="5" t="s">
        <v>3</v>
      </c>
    </row>
    <row r="219" spans="1:8" x14ac:dyDescent="0.25">
      <c r="A219" s="24" t="s">
        <v>430</v>
      </c>
      <c r="B219" s="24" t="s">
        <v>431</v>
      </c>
      <c r="C219" s="24" t="s">
        <v>499</v>
      </c>
      <c r="D219" s="27">
        <f>SUM(D220:D229)</f>
        <v>103230</v>
      </c>
      <c r="E219" s="27">
        <f>SUM(E220:E229)</f>
        <v>-45000</v>
      </c>
      <c r="F219" s="27">
        <f>SUM(F220:F229)</f>
        <v>58230</v>
      </c>
      <c r="G219" s="24" t="s">
        <v>3</v>
      </c>
      <c r="H219" s="24" t="s">
        <v>3</v>
      </c>
    </row>
    <row r="220" spans="1:8" x14ac:dyDescent="0.25">
      <c r="A220" s="5" t="s">
        <v>3</v>
      </c>
      <c r="B220" s="5" t="s">
        <v>3</v>
      </c>
      <c r="C220" s="5" t="s">
        <v>114</v>
      </c>
      <c r="D220" s="6">
        <v>25000</v>
      </c>
      <c r="E220" s="28">
        <v>-25000</v>
      </c>
      <c r="F220" s="6">
        <f>D220+E220</f>
        <v>0</v>
      </c>
      <c r="G220" s="22" t="s">
        <v>844</v>
      </c>
      <c r="H220" s="5" t="s">
        <v>3</v>
      </c>
    </row>
    <row r="221" spans="1:8" x14ac:dyDescent="0.25">
      <c r="A221" s="5" t="s">
        <v>3</v>
      </c>
      <c r="B221" s="5" t="s">
        <v>3</v>
      </c>
      <c r="C221" s="5" t="s">
        <v>55</v>
      </c>
      <c r="D221" s="6">
        <v>20000</v>
      </c>
      <c r="E221" s="28">
        <v>-20000</v>
      </c>
      <c r="F221" s="6">
        <f>D221+E221</f>
        <v>0</v>
      </c>
      <c r="G221" s="22" t="s">
        <v>845</v>
      </c>
      <c r="H221" s="5" t="s">
        <v>3</v>
      </c>
    </row>
    <row r="222" spans="1:8" x14ac:dyDescent="0.25">
      <c r="A222" s="5" t="s">
        <v>3</v>
      </c>
      <c r="B222" s="5" t="s">
        <v>3</v>
      </c>
      <c r="C222" s="5" t="s">
        <v>90</v>
      </c>
      <c r="D222" s="6">
        <v>50000</v>
      </c>
      <c r="E222" s="6">
        <v>0</v>
      </c>
      <c r="F222" s="6">
        <f>D222+E222</f>
        <v>50000</v>
      </c>
      <c r="G222" s="5" t="s">
        <v>3</v>
      </c>
      <c r="H222" s="5" t="s">
        <v>3</v>
      </c>
    </row>
    <row r="223" spans="1:8" x14ac:dyDescent="0.25">
      <c r="A223" s="5" t="s">
        <v>3</v>
      </c>
      <c r="B223" s="5" t="s">
        <v>3</v>
      </c>
      <c r="C223" s="5" t="s">
        <v>58</v>
      </c>
      <c r="D223" s="6">
        <v>5000</v>
      </c>
      <c r="E223" s="6">
        <v>0</v>
      </c>
      <c r="F223" s="6">
        <f>D223+E223</f>
        <v>5000</v>
      </c>
      <c r="G223" s="5" t="s">
        <v>3</v>
      </c>
      <c r="H223" s="5" t="s">
        <v>3</v>
      </c>
    </row>
    <row r="224" spans="1:8" x14ac:dyDescent="0.25">
      <c r="A224" s="5" t="s">
        <v>3</v>
      </c>
      <c r="B224" s="5" t="s">
        <v>3</v>
      </c>
      <c r="C224" s="5" t="s">
        <v>64</v>
      </c>
      <c r="D224" s="6">
        <v>1600</v>
      </c>
      <c r="E224" s="6">
        <v>0</v>
      </c>
      <c r="F224" s="6">
        <f>D224+E224</f>
        <v>1600</v>
      </c>
      <c r="G224" s="5" t="s">
        <v>3</v>
      </c>
      <c r="H224" s="5" t="s">
        <v>3</v>
      </c>
    </row>
    <row r="225" spans="1:8" x14ac:dyDescent="0.25">
      <c r="A225" s="5" t="s">
        <v>3</v>
      </c>
      <c r="B225" s="5" t="s">
        <v>3</v>
      </c>
      <c r="C225" s="5" t="s">
        <v>62</v>
      </c>
      <c r="D225" s="6">
        <v>1000</v>
      </c>
      <c r="E225" s="6">
        <v>0</v>
      </c>
      <c r="F225" s="6">
        <f>D225+E225</f>
        <v>1000</v>
      </c>
      <c r="G225" s="5" t="s">
        <v>3</v>
      </c>
      <c r="H225" s="5" t="s">
        <v>3</v>
      </c>
    </row>
    <row r="226" spans="1:8" x14ac:dyDescent="0.25">
      <c r="A226" s="5" t="s">
        <v>3</v>
      </c>
      <c r="B226" s="5" t="s">
        <v>3</v>
      </c>
      <c r="C226" s="5" t="s">
        <v>846</v>
      </c>
      <c r="D226" s="6">
        <v>480</v>
      </c>
      <c r="E226" s="6">
        <v>0</v>
      </c>
      <c r="F226" s="6">
        <f>D226+E226</f>
        <v>480</v>
      </c>
      <c r="G226" s="5" t="s">
        <v>3</v>
      </c>
      <c r="H226" s="5" t="s">
        <v>847</v>
      </c>
    </row>
    <row r="227" spans="1:8" x14ac:dyDescent="0.25">
      <c r="A227" s="5" t="s">
        <v>3</v>
      </c>
      <c r="B227" s="5" t="s">
        <v>3</v>
      </c>
      <c r="C227" s="5" t="s">
        <v>848</v>
      </c>
      <c r="D227" s="6">
        <v>50</v>
      </c>
      <c r="E227" s="6">
        <v>0</v>
      </c>
      <c r="F227" s="6">
        <f>D227+E227</f>
        <v>50</v>
      </c>
      <c r="G227" s="5" t="s">
        <v>3</v>
      </c>
      <c r="H227" s="5" t="s">
        <v>3</v>
      </c>
    </row>
    <row r="228" spans="1:8" x14ac:dyDescent="0.25">
      <c r="A228" s="5" t="s">
        <v>3</v>
      </c>
      <c r="B228" s="5" t="s">
        <v>3</v>
      </c>
      <c r="C228" s="5" t="s">
        <v>849</v>
      </c>
      <c r="D228" s="6">
        <v>50</v>
      </c>
      <c r="E228" s="6">
        <v>0</v>
      </c>
      <c r="F228" s="6">
        <f>D228+E228</f>
        <v>50</v>
      </c>
      <c r="G228" s="5" t="s">
        <v>3</v>
      </c>
      <c r="H228" s="5" t="s">
        <v>3</v>
      </c>
    </row>
    <row r="229" spans="1:8" x14ac:dyDescent="0.25">
      <c r="A229" s="5" t="s">
        <v>3</v>
      </c>
      <c r="B229" s="5" t="s">
        <v>3</v>
      </c>
      <c r="C229" s="5" t="s">
        <v>850</v>
      </c>
      <c r="D229" s="6">
        <v>50</v>
      </c>
      <c r="E229" s="6">
        <v>0</v>
      </c>
      <c r="F229" s="6">
        <f>D229+E229</f>
        <v>50</v>
      </c>
      <c r="G229" s="5" t="s">
        <v>3</v>
      </c>
      <c r="H229" s="5" t="s">
        <v>851</v>
      </c>
    </row>
    <row r="230" spans="1:8" x14ac:dyDescent="0.25">
      <c r="A230" s="24" t="s">
        <v>442</v>
      </c>
      <c r="B230" s="24" t="s">
        <v>443</v>
      </c>
      <c r="C230" s="24" t="s">
        <v>499</v>
      </c>
      <c r="D230" s="27">
        <f>SUM(D231:D231)</f>
        <v>2509</v>
      </c>
      <c r="E230" s="27">
        <f>SUM(E231:E231)</f>
        <v>0</v>
      </c>
      <c r="F230" s="27">
        <f>SUM(F231:F231)</f>
        <v>2509</v>
      </c>
      <c r="G230" s="24" t="s">
        <v>3</v>
      </c>
      <c r="H230" s="24" t="s">
        <v>3</v>
      </c>
    </row>
    <row r="231" spans="1:8" x14ac:dyDescent="0.25">
      <c r="A231" s="5" t="s">
        <v>3</v>
      </c>
      <c r="B231" s="5" t="s">
        <v>3</v>
      </c>
      <c r="C231" s="5" t="s">
        <v>852</v>
      </c>
      <c r="D231" s="6">
        <v>2509</v>
      </c>
      <c r="E231" s="6">
        <v>0</v>
      </c>
      <c r="F231" s="6">
        <f>D231+E231</f>
        <v>2509</v>
      </c>
      <c r="G231" s="5" t="s">
        <v>3</v>
      </c>
      <c r="H231" s="5" t="s">
        <v>3</v>
      </c>
    </row>
    <row r="232" spans="1:8" x14ac:dyDescent="0.25">
      <c r="A232" s="24" t="s">
        <v>448</v>
      </c>
      <c r="B232" s="24" t="s">
        <v>449</v>
      </c>
      <c r="C232" s="24" t="s">
        <v>499</v>
      </c>
      <c r="D232" s="27">
        <f>SUM(D233:D234)</f>
        <v>450.23</v>
      </c>
      <c r="E232" s="27">
        <f>SUM(E233:E234)</f>
        <v>0</v>
      </c>
      <c r="F232" s="27">
        <f>SUM(F233:F234)</f>
        <v>450.23</v>
      </c>
      <c r="G232" s="24" t="s">
        <v>3</v>
      </c>
      <c r="H232" s="24" t="s">
        <v>3</v>
      </c>
    </row>
    <row r="233" spans="1:8" x14ac:dyDescent="0.25">
      <c r="A233" s="5" t="s">
        <v>3</v>
      </c>
      <c r="B233" s="5" t="s">
        <v>3</v>
      </c>
      <c r="C233" s="5" t="s">
        <v>853</v>
      </c>
      <c r="D233" s="6">
        <v>304.61</v>
      </c>
      <c r="E233" s="6">
        <v>0</v>
      </c>
      <c r="F233" s="6">
        <f>D233+E233</f>
        <v>304.61</v>
      </c>
      <c r="G233" s="5" t="s">
        <v>3</v>
      </c>
      <c r="H233" s="5" t="s">
        <v>3</v>
      </c>
    </row>
    <row r="234" spans="1:8" x14ac:dyDescent="0.25">
      <c r="A234" s="5" t="s">
        <v>3</v>
      </c>
      <c r="B234" s="5" t="s">
        <v>3</v>
      </c>
      <c r="C234" s="5" t="s">
        <v>665</v>
      </c>
      <c r="D234" s="6">
        <v>145.62</v>
      </c>
      <c r="E234" s="6">
        <v>0</v>
      </c>
      <c r="F234" s="6">
        <f>D234+E234</f>
        <v>145.62</v>
      </c>
      <c r="G234" s="5" t="s">
        <v>3</v>
      </c>
      <c r="H234" s="5" t="s">
        <v>3</v>
      </c>
    </row>
    <row r="235" spans="1:8" x14ac:dyDescent="0.25">
      <c r="A235" s="24" t="s">
        <v>450</v>
      </c>
      <c r="B235" s="24" t="s">
        <v>451</v>
      </c>
      <c r="C235" s="24" t="s">
        <v>499</v>
      </c>
      <c r="D235" s="27">
        <f>SUM(D236:D236)</f>
        <v>10309.18</v>
      </c>
      <c r="E235" s="27">
        <f>SUM(E236:E236)</f>
        <v>0</v>
      </c>
      <c r="F235" s="27">
        <f>SUM(F236:F236)</f>
        <v>10309.18</v>
      </c>
      <c r="G235" s="24" t="s">
        <v>3</v>
      </c>
      <c r="H235" s="24" t="s">
        <v>3</v>
      </c>
    </row>
    <row r="236" spans="1:8" x14ac:dyDescent="0.25">
      <c r="A236" s="5" t="s">
        <v>3</v>
      </c>
      <c r="B236" s="5" t="s">
        <v>3</v>
      </c>
      <c r="C236" s="5" t="s">
        <v>666</v>
      </c>
      <c r="D236" s="6">
        <v>10309.18</v>
      </c>
      <c r="E236" s="6">
        <v>0</v>
      </c>
      <c r="F236" s="6">
        <f>D236+E236</f>
        <v>10309.18</v>
      </c>
      <c r="G236" s="5" t="s">
        <v>3</v>
      </c>
      <c r="H236" s="5" t="s">
        <v>3</v>
      </c>
    </row>
    <row r="237" spans="1:8" x14ac:dyDescent="0.25">
      <c r="A237" s="24" t="s">
        <v>452</v>
      </c>
      <c r="B237" s="24" t="s">
        <v>453</v>
      </c>
      <c r="C237" s="24" t="s">
        <v>499</v>
      </c>
      <c r="D237" s="27">
        <f>SUM(D238:D239)</f>
        <v>32918.67</v>
      </c>
      <c r="E237" s="27">
        <f>SUM(E238:E239)</f>
        <v>-20368.78</v>
      </c>
      <c r="F237" s="27">
        <f>SUM(F238:F239)</f>
        <v>12549.89</v>
      </c>
      <c r="G237" s="24" t="s">
        <v>3</v>
      </c>
      <c r="H237" s="24" t="s">
        <v>3</v>
      </c>
    </row>
    <row r="238" spans="1:8" x14ac:dyDescent="0.25">
      <c r="A238" s="5" t="s">
        <v>3</v>
      </c>
      <c r="B238" s="5" t="s">
        <v>3</v>
      </c>
      <c r="C238" s="5" t="s">
        <v>131</v>
      </c>
      <c r="D238" s="6">
        <v>20368.78</v>
      </c>
      <c r="E238" s="14">
        <v>-20368.78</v>
      </c>
      <c r="F238" s="6">
        <f>D238+E238</f>
        <v>0</v>
      </c>
      <c r="G238" s="15" t="s">
        <v>788</v>
      </c>
      <c r="H238" s="5" t="s">
        <v>3</v>
      </c>
    </row>
    <row r="239" spans="1:8" x14ac:dyDescent="0.25">
      <c r="A239" s="5" t="s">
        <v>3</v>
      </c>
      <c r="B239" s="5" t="s">
        <v>3</v>
      </c>
      <c r="C239" s="5" t="s">
        <v>199</v>
      </c>
      <c r="D239" s="6">
        <v>12549.89</v>
      </c>
      <c r="E239" s="6">
        <v>0</v>
      </c>
      <c r="F239" s="6">
        <f>D239+E239</f>
        <v>12549.89</v>
      </c>
      <c r="G239" s="5" t="s">
        <v>3</v>
      </c>
      <c r="H239" s="5" t="s">
        <v>3</v>
      </c>
    </row>
    <row r="240" spans="1:8" x14ac:dyDescent="0.25">
      <c r="A240" s="24" t="s">
        <v>454</v>
      </c>
      <c r="B240" s="24" t="s">
        <v>455</v>
      </c>
      <c r="C240" s="24" t="s">
        <v>499</v>
      </c>
      <c r="D240" s="27">
        <f>SUM(D241:D245)</f>
        <v>10094.89</v>
      </c>
      <c r="E240" s="27">
        <f>SUM(E241:E245)</f>
        <v>0</v>
      </c>
      <c r="F240" s="27">
        <f>SUM(F241:F245)</f>
        <v>10094.89</v>
      </c>
      <c r="G240" s="24" t="s">
        <v>3</v>
      </c>
      <c r="H240" s="24" t="s">
        <v>3</v>
      </c>
    </row>
    <row r="241" spans="1:8" x14ac:dyDescent="0.25">
      <c r="A241" s="5" t="s">
        <v>3</v>
      </c>
      <c r="B241" s="5" t="s">
        <v>3</v>
      </c>
      <c r="C241" s="5" t="s">
        <v>670</v>
      </c>
      <c r="D241" s="6">
        <v>4780</v>
      </c>
      <c r="E241" s="6">
        <v>0</v>
      </c>
      <c r="F241" s="6">
        <f>D241+E241</f>
        <v>4780</v>
      </c>
      <c r="G241" s="5" t="s">
        <v>3</v>
      </c>
      <c r="H241" s="5" t="s">
        <v>3</v>
      </c>
    </row>
    <row r="242" spans="1:8" x14ac:dyDescent="0.25">
      <c r="A242" s="5" t="s">
        <v>3</v>
      </c>
      <c r="B242" s="5" t="s">
        <v>3</v>
      </c>
      <c r="C242" s="5" t="s">
        <v>248</v>
      </c>
      <c r="D242" s="6">
        <v>2000</v>
      </c>
      <c r="E242" s="6">
        <v>0</v>
      </c>
      <c r="F242" s="6">
        <f>D242+E242</f>
        <v>2000</v>
      </c>
      <c r="G242" s="5" t="s">
        <v>3</v>
      </c>
      <c r="H242" s="5" t="s">
        <v>3</v>
      </c>
    </row>
    <row r="243" spans="1:8" x14ac:dyDescent="0.25">
      <c r="A243" s="5" t="s">
        <v>3</v>
      </c>
      <c r="B243" s="5" t="s">
        <v>3</v>
      </c>
      <c r="C243" s="5" t="s">
        <v>854</v>
      </c>
      <c r="D243" s="6">
        <v>1914.89</v>
      </c>
      <c r="E243" s="6">
        <v>0</v>
      </c>
      <c r="F243" s="6">
        <f>D243+E243</f>
        <v>1914.89</v>
      </c>
      <c r="G243" s="5" t="s">
        <v>3</v>
      </c>
      <c r="H243" s="5" t="s">
        <v>3</v>
      </c>
    </row>
    <row r="244" spans="1:8" x14ac:dyDescent="0.25">
      <c r="A244" s="5" t="s">
        <v>3</v>
      </c>
      <c r="B244" s="5" t="s">
        <v>3</v>
      </c>
      <c r="C244" s="5" t="s">
        <v>66</v>
      </c>
      <c r="D244" s="6">
        <v>800</v>
      </c>
      <c r="E244" s="6">
        <v>0</v>
      </c>
      <c r="F244" s="6">
        <f>D244+E244</f>
        <v>800</v>
      </c>
      <c r="G244" s="5" t="s">
        <v>3</v>
      </c>
      <c r="H244" s="5" t="s">
        <v>3</v>
      </c>
    </row>
    <row r="245" spans="1:8" x14ac:dyDescent="0.25">
      <c r="A245" s="5" t="s">
        <v>3</v>
      </c>
      <c r="B245" s="5" t="s">
        <v>3</v>
      </c>
      <c r="C245" s="5" t="s">
        <v>855</v>
      </c>
      <c r="D245" s="6">
        <v>600</v>
      </c>
      <c r="E245" s="6">
        <v>0</v>
      </c>
      <c r="F245" s="6">
        <f>D245+E245</f>
        <v>600</v>
      </c>
      <c r="G245" s="5" t="s">
        <v>3</v>
      </c>
      <c r="H245" s="5" t="s">
        <v>3</v>
      </c>
    </row>
    <row r="246" spans="1:8" x14ac:dyDescent="0.25">
      <c r="A246" s="24" t="s">
        <v>456</v>
      </c>
      <c r="B246" s="24" t="s">
        <v>457</v>
      </c>
      <c r="C246" s="24" t="s">
        <v>499</v>
      </c>
      <c r="D246" s="27">
        <f>SUM(D247:D247)</f>
        <v>7500</v>
      </c>
      <c r="E246" s="27">
        <f>SUM(E247:E247)</f>
        <v>0</v>
      </c>
      <c r="F246" s="27">
        <f>SUM(F247:F247)</f>
        <v>7500</v>
      </c>
      <c r="G246" s="24" t="s">
        <v>3</v>
      </c>
      <c r="H246" s="24" t="s">
        <v>3</v>
      </c>
    </row>
    <row r="247" spans="1:8" x14ac:dyDescent="0.25">
      <c r="A247" s="5" t="s">
        <v>3</v>
      </c>
      <c r="B247" s="5" t="s">
        <v>3</v>
      </c>
      <c r="C247" s="5" t="s">
        <v>671</v>
      </c>
      <c r="D247" s="6">
        <v>7500</v>
      </c>
      <c r="E247" s="6">
        <v>0</v>
      </c>
      <c r="F247" s="6">
        <f>D247+E247</f>
        <v>7500</v>
      </c>
      <c r="G247" s="5" t="s">
        <v>3</v>
      </c>
      <c r="H247" s="5" t="s">
        <v>3</v>
      </c>
    </row>
    <row r="248" spans="1:8" x14ac:dyDescent="0.25">
      <c r="A248" s="24" t="s">
        <v>458</v>
      </c>
      <c r="B248" s="24" t="s">
        <v>459</v>
      </c>
      <c r="C248" s="24" t="s">
        <v>499</v>
      </c>
      <c r="D248" s="27">
        <f>SUM(D249:D289)</f>
        <v>432182.92</v>
      </c>
      <c r="E248" s="27">
        <f>SUM(E249:E289)</f>
        <v>-30000</v>
      </c>
      <c r="F248" s="27">
        <f>SUM(F249:F289)</f>
        <v>402182.92</v>
      </c>
      <c r="G248" s="24" t="s">
        <v>3</v>
      </c>
      <c r="H248" s="24" t="s">
        <v>3</v>
      </c>
    </row>
    <row r="249" spans="1:8" x14ac:dyDescent="0.25">
      <c r="A249" s="5" t="s">
        <v>3</v>
      </c>
      <c r="B249" s="5" t="s">
        <v>3</v>
      </c>
      <c r="C249" s="5" t="s">
        <v>126</v>
      </c>
      <c r="D249" s="6">
        <v>30000</v>
      </c>
      <c r="E249" s="14">
        <v>-30000</v>
      </c>
      <c r="F249" s="6">
        <f>D249+E249</f>
        <v>0</v>
      </c>
      <c r="G249" s="15" t="s">
        <v>775</v>
      </c>
      <c r="H249" s="5" t="s">
        <v>3</v>
      </c>
    </row>
    <row r="250" spans="1:8" x14ac:dyDescent="0.25">
      <c r="A250" s="5" t="s">
        <v>3</v>
      </c>
      <c r="B250" s="5" t="s">
        <v>3</v>
      </c>
      <c r="C250" s="5" t="s">
        <v>273</v>
      </c>
      <c r="D250" s="6">
        <v>36491</v>
      </c>
      <c r="E250" s="6">
        <v>0</v>
      </c>
      <c r="F250" s="6">
        <f>D250+E250</f>
        <v>36491</v>
      </c>
      <c r="G250" s="5" t="s">
        <v>3</v>
      </c>
      <c r="H250" s="5" t="s">
        <v>3</v>
      </c>
    </row>
    <row r="251" spans="1:8" x14ac:dyDescent="0.25">
      <c r="A251" s="5" t="s">
        <v>3</v>
      </c>
      <c r="B251" s="5" t="s">
        <v>3</v>
      </c>
      <c r="C251" s="5" t="s">
        <v>85</v>
      </c>
      <c r="D251" s="6">
        <v>35000</v>
      </c>
      <c r="E251" s="6">
        <v>0</v>
      </c>
      <c r="F251" s="6">
        <f>D251+E251</f>
        <v>35000</v>
      </c>
      <c r="G251" s="5" t="s">
        <v>3</v>
      </c>
      <c r="H251" s="5" t="s">
        <v>3</v>
      </c>
    </row>
    <row r="252" spans="1:8" x14ac:dyDescent="0.25">
      <c r="A252" s="5" t="s">
        <v>3</v>
      </c>
      <c r="B252" s="5" t="s">
        <v>3</v>
      </c>
      <c r="C252" s="5" t="s">
        <v>88</v>
      </c>
      <c r="D252" s="6">
        <v>30888</v>
      </c>
      <c r="E252" s="6">
        <v>0</v>
      </c>
      <c r="F252" s="6">
        <f>D252+E252</f>
        <v>30888</v>
      </c>
      <c r="G252" s="5" t="s">
        <v>3</v>
      </c>
      <c r="H252" s="5" t="s">
        <v>3</v>
      </c>
    </row>
    <row r="253" spans="1:8" x14ac:dyDescent="0.25">
      <c r="A253" s="5" t="s">
        <v>3</v>
      </c>
      <c r="B253" s="5" t="s">
        <v>3</v>
      </c>
      <c r="C253" s="5" t="s">
        <v>678</v>
      </c>
      <c r="D253" s="6">
        <v>28671.5</v>
      </c>
      <c r="E253" s="6">
        <v>0</v>
      </c>
      <c r="F253" s="6">
        <f>D253+E253</f>
        <v>28671.5</v>
      </c>
      <c r="G253" s="5" t="s">
        <v>3</v>
      </c>
      <c r="H253" s="5" t="s">
        <v>3</v>
      </c>
    </row>
    <row r="254" spans="1:8" x14ac:dyDescent="0.25">
      <c r="A254" s="5" t="s">
        <v>3</v>
      </c>
      <c r="B254" s="5" t="s">
        <v>3</v>
      </c>
      <c r="C254" s="5" t="s">
        <v>683</v>
      </c>
      <c r="D254" s="6">
        <v>22937.2</v>
      </c>
      <c r="E254" s="6">
        <v>0</v>
      </c>
      <c r="F254" s="6">
        <f>D254+E254</f>
        <v>22937.2</v>
      </c>
      <c r="G254" s="5" t="s">
        <v>3</v>
      </c>
      <c r="H254" s="5" t="s">
        <v>3</v>
      </c>
    </row>
    <row r="255" spans="1:8" x14ac:dyDescent="0.25">
      <c r="A255" s="5" t="s">
        <v>3</v>
      </c>
      <c r="B255" s="5" t="s">
        <v>3</v>
      </c>
      <c r="C255" s="5" t="s">
        <v>691</v>
      </c>
      <c r="D255" s="6">
        <v>20000</v>
      </c>
      <c r="E255" s="6">
        <v>0</v>
      </c>
      <c r="F255" s="6">
        <f>D255+E255</f>
        <v>20000</v>
      </c>
      <c r="G255" s="5" t="s">
        <v>3</v>
      </c>
      <c r="H255" s="5" t="s">
        <v>3</v>
      </c>
    </row>
    <row r="256" spans="1:8" x14ac:dyDescent="0.25">
      <c r="A256" s="5" t="s">
        <v>3</v>
      </c>
      <c r="B256" s="5" t="s">
        <v>3</v>
      </c>
      <c r="C256" s="5" t="s">
        <v>734</v>
      </c>
      <c r="D256" s="6">
        <v>18000</v>
      </c>
      <c r="E256" s="6">
        <v>0</v>
      </c>
      <c r="F256" s="6">
        <f>D256+E256</f>
        <v>18000</v>
      </c>
      <c r="G256" s="5" t="s">
        <v>3</v>
      </c>
      <c r="H256" s="5" t="s">
        <v>3</v>
      </c>
    </row>
    <row r="257" spans="1:8" x14ac:dyDescent="0.25">
      <c r="A257" s="5" t="s">
        <v>3</v>
      </c>
      <c r="B257" s="5" t="s">
        <v>3</v>
      </c>
      <c r="C257" s="5" t="s">
        <v>280</v>
      </c>
      <c r="D257" s="6">
        <v>17000</v>
      </c>
      <c r="E257" s="6">
        <v>0</v>
      </c>
      <c r="F257" s="6">
        <f>D257+E257</f>
        <v>17000</v>
      </c>
      <c r="G257" s="5" t="s">
        <v>3</v>
      </c>
      <c r="H257" s="5" t="s">
        <v>856</v>
      </c>
    </row>
    <row r="258" spans="1:8" x14ac:dyDescent="0.25">
      <c r="A258" s="5" t="s">
        <v>3</v>
      </c>
      <c r="B258" s="5" t="s">
        <v>3</v>
      </c>
      <c r="C258" s="5" t="s">
        <v>686</v>
      </c>
      <c r="D258" s="6">
        <v>16119.11</v>
      </c>
      <c r="E258" s="6">
        <v>0</v>
      </c>
      <c r="F258" s="6">
        <f>D258+E258</f>
        <v>16119.11</v>
      </c>
      <c r="G258" s="5" t="s">
        <v>3</v>
      </c>
      <c r="H258" s="5" t="s">
        <v>3</v>
      </c>
    </row>
    <row r="259" spans="1:8" x14ac:dyDescent="0.25">
      <c r="A259" s="5" t="s">
        <v>3</v>
      </c>
      <c r="B259" s="5" t="s">
        <v>3</v>
      </c>
      <c r="C259" s="5" t="s">
        <v>218</v>
      </c>
      <c r="D259" s="6">
        <v>14075.1</v>
      </c>
      <c r="E259" s="6">
        <v>0</v>
      </c>
      <c r="F259" s="6">
        <f>D259+E259</f>
        <v>14075.1</v>
      </c>
      <c r="G259" s="5" t="s">
        <v>3</v>
      </c>
      <c r="H259" s="5" t="s">
        <v>3</v>
      </c>
    </row>
    <row r="260" spans="1:8" x14ac:dyDescent="0.25">
      <c r="A260" s="5" t="s">
        <v>3</v>
      </c>
      <c r="B260" s="5" t="s">
        <v>3</v>
      </c>
      <c r="C260" s="5" t="s">
        <v>694</v>
      </c>
      <c r="D260" s="6">
        <v>13500</v>
      </c>
      <c r="E260" s="6">
        <v>0</v>
      </c>
      <c r="F260" s="6">
        <f>D260+E260</f>
        <v>13500</v>
      </c>
      <c r="G260" s="5" t="s">
        <v>3</v>
      </c>
      <c r="H260" s="5" t="s">
        <v>689</v>
      </c>
    </row>
    <row r="261" spans="1:8" x14ac:dyDescent="0.25">
      <c r="A261" s="5" t="s">
        <v>3</v>
      </c>
      <c r="B261" s="5" t="s">
        <v>3</v>
      </c>
      <c r="C261" s="5" t="s">
        <v>698</v>
      </c>
      <c r="D261" s="6">
        <v>12500</v>
      </c>
      <c r="E261" s="6">
        <v>0</v>
      </c>
      <c r="F261" s="6">
        <f>D261+E261</f>
        <v>12500</v>
      </c>
      <c r="G261" s="5" t="s">
        <v>3</v>
      </c>
      <c r="H261" s="5" t="s">
        <v>3</v>
      </c>
    </row>
    <row r="262" spans="1:8" x14ac:dyDescent="0.25">
      <c r="A262" s="5" t="s">
        <v>3</v>
      </c>
      <c r="B262" s="5" t="s">
        <v>3</v>
      </c>
      <c r="C262" s="5" t="s">
        <v>692</v>
      </c>
      <c r="D262" s="6">
        <v>11000</v>
      </c>
      <c r="E262" s="6">
        <v>0</v>
      </c>
      <c r="F262" s="6">
        <f>D262+E262</f>
        <v>11000</v>
      </c>
      <c r="G262" s="5" t="s">
        <v>3</v>
      </c>
      <c r="H262" s="5" t="s">
        <v>3</v>
      </c>
    </row>
    <row r="263" spans="1:8" x14ac:dyDescent="0.25">
      <c r="A263" s="5" t="s">
        <v>3</v>
      </c>
      <c r="B263" s="5" t="s">
        <v>3</v>
      </c>
      <c r="C263" s="5" t="s">
        <v>695</v>
      </c>
      <c r="D263" s="6">
        <v>11000</v>
      </c>
      <c r="E263" s="6">
        <v>0</v>
      </c>
      <c r="F263" s="6">
        <f>D263+E263</f>
        <v>11000</v>
      </c>
      <c r="G263" s="5" t="s">
        <v>3</v>
      </c>
      <c r="H263" s="5" t="s">
        <v>3</v>
      </c>
    </row>
    <row r="264" spans="1:8" x14ac:dyDescent="0.25">
      <c r="A264" s="5" t="s">
        <v>3</v>
      </c>
      <c r="B264" s="5" t="s">
        <v>3</v>
      </c>
      <c r="C264" s="5" t="s">
        <v>690</v>
      </c>
      <c r="D264" s="6">
        <v>10426</v>
      </c>
      <c r="E264" s="6">
        <v>0</v>
      </c>
      <c r="F264" s="6">
        <f>D264+E264</f>
        <v>10426</v>
      </c>
      <c r="G264" s="5" t="s">
        <v>3</v>
      </c>
      <c r="H264" s="5" t="s">
        <v>3</v>
      </c>
    </row>
    <row r="265" spans="1:8" x14ac:dyDescent="0.25">
      <c r="A265" s="5" t="s">
        <v>3</v>
      </c>
      <c r="B265" s="5" t="s">
        <v>3</v>
      </c>
      <c r="C265" s="5" t="s">
        <v>720</v>
      </c>
      <c r="D265" s="6">
        <v>10000</v>
      </c>
      <c r="E265" s="6">
        <v>0</v>
      </c>
      <c r="F265" s="6">
        <f>D265+E265</f>
        <v>10000</v>
      </c>
      <c r="G265" s="5" t="s">
        <v>3</v>
      </c>
      <c r="H265" s="5" t="s">
        <v>3</v>
      </c>
    </row>
    <row r="266" spans="1:8" x14ac:dyDescent="0.25">
      <c r="A266" s="5" t="s">
        <v>3</v>
      </c>
      <c r="B266" s="5" t="s">
        <v>3</v>
      </c>
      <c r="C266" s="5" t="s">
        <v>700</v>
      </c>
      <c r="D266" s="6">
        <v>9000</v>
      </c>
      <c r="E266" s="6">
        <v>0</v>
      </c>
      <c r="F266" s="6">
        <f>D266+E266</f>
        <v>9000</v>
      </c>
      <c r="G266" s="5" t="s">
        <v>3</v>
      </c>
      <c r="H266" s="5" t="s">
        <v>3</v>
      </c>
    </row>
    <row r="267" spans="1:8" x14ac:dyDescent="0.25">
      <c r="A267" s="5" t="s">
        <v>3</v>
      </c>
      <c r="B267" s="5" t="s">
        <v>3</v>
      </c>
      <c r="C267" s="5" t="s">
        <v>290</v>
      </c>
      <c r="D267" s="6">
        <v>7850</v>
      </c>
      <c r="E267" s="6">
        <v>0</v>
      </c>
      <c r="F267" s="6">
        <f>D267+E267</f>
        <v>7850</v>
      </c>
      <c r="G267" s="5" t="s">
        <v>3</v>
      </c>
      <c r="H267" s="5" t="s">
        <v>3</v>
      </c>
    </row>
    <row r="268" spans="1:8" x14ac:dyDescent="0.25">
      <c r="A268" s="5" t="s">
        <v>3</v>
      </c>
      <c r="B268" s="5" t="s">
        <v>3</v>
      </c>
      <c r="C268" s="5" t="s">
        <v>857</v>
      </c>
      <c r="D268" s="6">
        <v>7500</v>
      </c>
      <c r="E268" s="6">
        <v>0</v>
      </c>
      <c r="F268" s="6">
        <f>D268+E268</f>
        <v>7500</v>
      </c>
      <c r="G268" s="5" t="s">
        <v>3</v>
      </c>
      <c r="H268" s="5" t="s">
        <v>3</v>
      </c>
    </row>
    <row r="269" spans="1:8" x14ac:dyDescent="0.25">
      <c r="A269" s="5" t="s">
        <v>3</v>
      </c>
      <c r="B269" s="5" t="s">
        <v>3</v>
      </c>
      <c r="C269" s="5" t="s">
        <v>716</v>
      </c>
      <c r="D269" s="6">
        <v>6835</v>
      </c>
      <c r="E269" s="6">
        <v>0</v>
      </c>
      <c r="F269" s="6">
        <f>D269+E269</f>
        <v>6835</v>
      </c>
      <c r="G269" s="5" t="s">
        <v>3</v>
      </c>
      <c r="H269" s="5" t="s">
        <v>3</v>
      </c>
    </row>
    <row r="270" spans="1:8" x14ac:dyDescent="0.25">
      <c r="A270" s="5" t="s">
        <v>3</v>
      </c>
      <c r="B270" s="5" t="s">
        <v>3</v>
      </c>
      <c r="C270" s="5" t="s">
        <v>158</v>
      </c>
      <c r="D270" s="6">
        <v>6801.36</v>
      </c>
      <c r="E270" s="6">
        <v>0</v>
      </c>
      <c r="F270" s="6">
        <f>D270+E270</f>
        <v>6801.36</v>
      </c>
      <c r="G270" s="5" t="s">
        <v>3</v>
      </c>
      <c r="H270" s="5" t="s">
        <v>3</v>
      </c>
    </row>
    <row r="271" spans="1:8" x14ac:dyDescent="0.25">
      <c r="A271" s="5" t="s">
        <v>3</v>
      </c>
      <c r="B271" s="5" t="s">
        <v>3</v>
      </c>
      <c r="C271" s="5" t="s">
        <v>696</v>
      </c>
      <c r="D271" s="6">
        <v>6644.13</v>
      </c>
      <c r="E271" s="6">
        <v>0</v>
      </c>
      <c r="F271" s="6">
        <f>D271+E271</f>
        <v>6644.13</v>
      </c>
      <c r="G271" s="5" t="s">
        <v>3</v>
      </c>
      <c r="H271" s="5" t="s">
        <v>3</v>
      </c>
    </row>
    <row r="272" spans="1:8" x14ac:dyDescent="0.25">
      <c r="A272" s="5" t="s">
        <v>3</v>
      </c>
      <c r="B272" s="5" t="s">
        <v>3</v>
      </c>
      <c r="C272" s="5" t="s">
        <v>712</v>
      </c>
      <c r="D272" s="6">
        <v>6500</v>
      </c>
      <c r="E272" s="6">
        <v>0</v>
      </c>
      <c r="F272" s="6">
        <f>D272+E272</f>
        <v>6500</v>
      </c>
      <c r="G272" s="5" t="s">
        <v>3</v>
      </c>
      <c r="H272" s="5" t="s">
        <v>3</v>
      </c>
    </row>
    <row r="273" spans="1:8" x14ac:dyDescent="0.25">
      <c r="A273" s="5" t="s">
        <v>3</v>
      </c>
      <c r="B273" s="5" t="s">
        <v>3</v>
      </c>
      <c r="C273" s="5" t="s">
        <v>723</v>
      </c>
      <c r="D273" s="6">
        <v>6428.03</v>
      </c>
      <c r="E273" s="6">
        <v>0</v>
      </c>
      <c r="F273" s="6">
        <f>D273+E273</f>
        <v>6428.03</v>
      </c>
      <c r="G273" s="5" t="s">
        <v>3</v>
      </c>
      <c r="H273" s="5" t="s">
        <v>3</v>
      </c>
    </row>
    <row r="274" spans="1:8" x14ac:dyDescent="0.25">
      <c r="A274" s="5" t="s">
        <v>3</v>
      </c>
      <c r="B274" s="5" t="s">
        <v>3</v>
      </c>
      <c r="C274" s="5" t="s">
        <v>225</v>
      </c>
      <c r="D274" s="6">
        <v>6185.22</v>
      </c>
      <c r="E274" s="6">
        <v>0</v>
      </c>
      <c r="F274" s="6">
        <f>D274+E274</f>
        <v>6185.22</v>
      </c>
      <c r="G274" s="5" t="s">
        <v>3</v>
      </c>
      <c r="H274" s="5" t="s">
        <v>3</v>
      </c>
    </row>
    <row r="275" spans="1:8" x14ac:dyDescent="0.25">
      <c r="A275" s="5" t="s">
        <v>3</v>
      </c>
      <c r="B275" s="5" t="s">
        <v>3</v>
      </c>
      <c r="C275" s="5" t="s">
        <v>227</v>
      </c>
      <c r="D275" s="6">
        <v>6021.02</v>
      </c>
      <c r="E275" s="6">
        <v>0</v>
      </c>
      <c r="F275" s="6">
        <f>D275+E275</f>
        <v>6021.02</v>
      </c>
      <c r="G275" s="5" t="s">
        <v>3</v>
      </c>
      <c r="H275" s="5" t="s">
        <v>3</v>
      </c>
    </row>
    <row r="276" spans="1:8" x14ac:dyDescent="0.25">
      <c r="A276" s="5" t="s">
        <v>3</v>
      </c>
      <c r="B276" s="5" t="s">
        <v>3</v>
      </c>
      <c r="C276" s="5" t="s">
        <v>162</v>
      </c>
      <c r="D276" s="6">
        <v>5400</v>
      </c>
      <c r="E276" s="6">
        <v>0</v>
      </c>
      <c r="F276" s="6">
        <f>D276+E276</f>
        <v>5400</v>
      </c>
      <c r="G276" s="5" t="s">
        <v>3</v>
      </c>
      <c r="H276" s="5" t="s">
        <v>3</v>
      </c>
    </row>
    <row r="277" spans="1:8" x14ac:dyDescent="0.25">
      <c r="A277" s="5" t="s">
        <v>3</v>
      </c>
      <c r="B277" s="5" t="s">
        <v>3</v>
      </c>
      <c r="C277" s="5" t="s">
        <v>229</v>
      </c>
      <c r="D277" s="6">
        <v>5046.18</v>
      </c>
      <c r="E277" s="6">
        <v>0</v>
      </c>
      <c r="F277" s="6">
        <f>D277+E277</f>
        <v>5046.18</v>
      </c>
      <c r="G277" s="5" t="s">
        <v>3</v>
      </c>
      <c r="H277" s="5" t="s">
        <v>3</v>
      </c>
    </row>
    <row r="278" spans="1:8" x14ac:dyDescent="0.25">
      <c r="A278" s="5" t="s">
        <v>3</v>
      </c>
      <c r="B278" s="5" t="s">
        <v>3</v>
      </c>
      <c r="C278" s="5" t="s">
        <v>725</v>
      </c>
      <c r="D278" s="6">
        <v>3649.1</v>
      </c>
      <c r="E278" s="6">
        <v>0</v>
      </c>
      <c r="F278" s="6">
        <f>D278+E278</f>
        <v>3649.1</v>
      </c>
      <c r="G278" s="5" t="s">
        <v>3</v>
      </c>
      <c r="H278" s="5" t="s">
        <v>3</v>
      </c>
    </row>
    <row r="279" spans="1:8" x14ac:dyDescent="0.25">
      <c r="A279" s="5" t="s">
        <v>3</v>
      </c>
      <c r="B279" s="5" t="s">
        <v>3</v>
      </c>
      <c r="C279" s="5" t="s">
        <v>730</v>
      </c>
      <c r="D279" s="6">
        <v>3500</v>
      </c>
      <c r="E279" s="6">
        <v>0</v>
      </c>
      <c r="F279" s="6">
        <f>D279+E279</f>
        <v>3500</v>
      </c>
      <c r="G279" s="5" t="s">
        <v>3</v>
      </c>
      <c r="H279" s="5" t="s">
        <v>3</v>
      </c>
    </row>
    <row r="280" spans="1:8" x14ac:dyDescent="0.25">
      <c r="A280" s="5" t="s">
        <v>3</v>
      </c>
      <c r="B280" s="5" t="s">
        <v>3</v>
      </c>
      <c r="C280" s="5" t="s">
        <v>858</v>
      </c>
      <c r="D280" s="6">
        <v>2299.99</v>
      </c>
      <c r="E280" s="6">
        <v>0</v>
      </c>
      <c r="F280" s="6">
        <f>D280+E280</f>
        <v>2299.99</v>
      </c>
      <c r="G280" s="5" t="s">
        <v>3</v>
      </c>
      <c r="H280" s="5" t="s">
        <v>3</v>
      </c>
    </row>
    <row r="281" spans="1:8" x14ac:dyDescent="0.25">
      <c r="A281" s="5" t="s">
        <v>3</v>
      </c>
      <c r="B281" s="5" t="s">
        <v>3</v>
      </c>
      <c r="C281" s="5" t="s">
        <v>298</v>
      </c>
      <c r="D281" s="6">
        <v>2157.69</v>
      </c>
      <c r="E281" s="6">
        <v>0</v>
      </c>
      <c r="F281" s="6">
        <f>D281+E281</f>
        <v>2157.69</v>
      </c>
      <c r="G281" s="5" t="s">
        <v>3</v>
      </c>
      <c r="H281" s="5" t="s">
        <v>3</v>
      </c>
    </row>
    <row r="282" spans="1:8" x14ac:dyDescent="0.25">
      <c r="A282" s="5" t="s">
        <v>3</v>
      </c>
      <c r="B282" s="5" t="s">
        <v>3</v>
      </c>
      <c r="C282" s="5" t="s">
        <v>859</v>
      </c>
      <c r="D282" s="6">
        <v>990</v>
      </c>
      <c r="E282" s="6">
        <v>0</v>
      </c>
      <c r="F282" s="6">
        <f>D282+E282</f>
        <v>990</v>
      </c>
      <c r="G282" s="5" t="s">
        <v>3</v>
      </c>
      <c r="H282" s="5" t="s">
        <v>3</v>
      </c>
    </row>
    <row r="283" spans="1:8" x14ac:dyDescent="0.25">
      <c r="A283" s="5" t="s">
        <v>3</v>
      </c>
      <c r="B283" s="5" t="s">
        <v>3</v>
      </c>
      <c r="C283" s="5" t="s">
        <v>739</v>
      </c>
      <c r="D283" s="6">
        <v>651</v>
      </c>
      <c r="E283" s="6">
        <v>0</v>
      </c>
      <c r="F283" s="6">
        <f>D283+E283</f>
        <v>651</v>
      </c>
      <c r="G283" s="5" t="s">
        <v>3</v>
      </c>
      <c r="H283" s="5" t="s">
        <v>3</v>
      </c>
    </row>
    <row r="284" spans="1:8" x14ac:dyDescent="0.25">
      <c r="A284" s="5" t="s">
        <v>3</v>
      </c>
      <c r="B284" s="5" t="s">
        <v>3</v>
      </c>
      <c r="C284" s="5" t="s">
        <v>860</v>
      </c>
      <c r="D284" s="6">
        <v>379.24</v>
      </c>
      <c r="E284" s="6">
        <v>0</v>
      </c>
      <c r="F284" s="6">
        <f>D284+E284</f>
        <v>379.24</v>
      </c>
      <c r="G284" s="5" t="s">
        <v>3</v>
      </c>
      <c r="H284" s="5" t="s">
        <v>3</v>
      </c>
    </row>
    <row r="285" spans="1:8" x14ac:dyDescent="0.25">
      <c r="A285" s="5" t="s">
        <v>3</v>
      </c>
      <c r="B285" s="5" t="s">
        <v>3</v>
      </c>
      <c r="C285" s="5" t="s">
        <v>741</v>
      </c>
      <c r="D285" s="6">
        <v>358.3</v>
      </c>
      <c r="E285" s="6">
        <v>0</v>
      </c>
      <c r="F285" s="6">
        <f>D285+E285</f>
        <v>358.3</v>
      </c>
      <c r="G285" s="5" t="s">
        <v>3</v>
      </c>
      <c r="H285" s="5" t="s">
        <v>3</v>
      </c>
    </row>
    <row r="286" spans="1:8" x14ac:dyDescent="0.25">
      <c r="A286" s="5" t="s">
        <v>3</v>
      </c>
      <c r="B286" s="5" t="s">
        <v>3</v>
      </c>
      <c r="C286" s="5" t="s">
        <v>742</v>
      </c>
      <c r="D286" s="6">
        <v>164.85</v>
      </c>
      <c r="E286" s="6">
        <v>0</v>
      </c>
      <c r="F286" s="6">
        <f>D286+E286</f>
        <v>164.85</v>
      </c>
      <c r="G286" s="5" t="s">
        <v>3</v>
      </c>
      <c r="H286" s="5" t="s">
        <v>3</v>
      </c>
    </row>
    <row r="287" spans="1:8" x14ac:dyDescent="0.25">
      <c r="A287" s="5" t="s">
        <v>3</v>
      </c>
      <c r="B287" s="5" t="s">
        <v>3</v>
      </c>
      <c r="C287" s="5" t="s">
        <v>861</v>
      </c>
      <c r="D287" s="6">
        <v>89</v>
      </c>
      <c r="E287" s="6">
        <v>0</v>
      </c>
      <c r="F287" s="6">
        <f>D287+E287</f>
        <v>89</v>
      </c>
      <c r="G287" s="5" t="s">
        <v>3</v>
      </c>
      <c r="H287" s="5" t="s">
        <v>3</v>
      </c>
    </row>
    <row r="288" spans="1:8" x14ac:dyDescent="0.25">
      <c r="A288" s="5" t="s">
        <v>3</v>
      </c>
      <c r="B288" s="5" t="s">
        <v>3</v>
      </c>
      <c r="C288" s="5" t="s">
        <v>743</v>
      </c>
      <c r="D288" s="6">
        <v>89</v>
      </c>
      <c r="E288" s="6">
        <v>0</v>
      </c>
      <c r="F288" s="6">
        <f>D288+E288</f>
        <v>89</v>
      </c>
      <c r="G288" s="5" t="s">
        <v>3</v>
      </c>
      <c r="H288" s="5" t="s">
        <v>3</v>
      </c>
    </row>
    <row r="289" spans="1:8" x14ac:dyDescent="0.25">
      <c r="A289" s="5" t="s">
        <v>3</v>
      </c>
      <c r="B289" s="5" t="s">
        <v>3</v>
      </c>
      <c r="C289" s="5" t="s">
        <v>744</v>
      </c>
      <c r="D289" s="6">
        <v>35.9</v>
      </c>
      <c r="E289" s="6">
        <v>0</v>
      </c>
      <c r="F289" s="6">
        <f>D289+E289</f>
        <v>35.9</v>
      </c>
      <c r="G289" s="5" t="s">
        <v>3</v>
      </c>
      <c r="H289" s="5" t="s">
        <v>3</v>
      </c>
    </row>
    <row r="290" spans="1:8" x14ac:dyDescent="0.25">
      <c r="A290" s="24" t="s">
        <v>460</v>
      </c>
      <c r="B290" s="24" t="s">
        <v>461</v>
      </c>
      <c r="C290" s="24" t="s">
        <v>499</v>
      </c>
      <c r="D290" s="27">
        <f>SUM(D291:D292)</f>
        <v>28714.23</v>
      </c>
      <c r="E290" s="27">
        <f>SUM(E291:E292)</f>
        <v>0</v>
      </c>
      <c r="F290" s="27">
        <f>SUM(F291:F292)</f>
        <v>28714.23</v>
      </c>
      <c r="G290" s="24" t="s">
        <v>3</v>
      </c>
      <c r="H290" s="24" t="s">
        <v>3</v>
      </c>
    </row>
    <row r="291" spans="1:8" x14ac:dyDescent="0.25">
      <c r="A291" s="5" t="s">
        <v>3</v>
      </c>
      <c r="B291" s="5" t="s">
        <v>3</v>
      </c>
      <c r="C291" s="5" t="s">
        <v>745</v>
      </c>
      <c r="D291" s="6">
        <v>27500</v>
      </c>
      <c r="E291" s="6">
        <v>0</v>
      </c>
      <c r="F291" s="6">
        <f>D291+E291</f>
        <v>27500</v>
      </c>
      <c r="G291" s="5" t="s">
        <v>3</v>
      </c>
      <c r="H291" s="5" t="s">
        <v>3</v>
      </c>
    </row>
    <row r="292" spans="1:8" x14ac:dyDescent="0.25">
      <c r="A292" s="5" t="s">
        <v>3</v>
      </c>
      <c r="B292" s="5" t="s">
        <v>3</v>
      </c>
      <c r="C292" s="5" t="s">
        <v>862</v>
      </c>
      <c r="D292" s="6">
        <v>1214.23</v>
      </c>
      <c r="E292" s="6">
        <v>0</v>
      </c>
      <c r="F292" s="6">
        <f>D292+E292</f>
        <v>1214.23</v>
      </c>
      <c r="G292" s="5" t="s">
        <v>3</v>
      </c>
      <c r="H292" s="5" t="s">
        <v>3</v>
      </c>
    </row>
    <row r="293" spans="1:8" x14ac:dyDescent="0.25">
      <c r="A293" s="24" t="s">
        <v>462</v>
      </c>
      <c r="B293" s="24" t="s">
        <v>463</v>
      </c>
      <c r="C293" s="24" t="s">
        <v>499</v>
      </c>
      <c r="D293" s="27">
        <f>SUM(D294:D296)</f>
        <v>6760</v>
      </c>
      <c r="E293" s="27">
        <f>SUM(E294:E296)</f>
        <v>0</v>
      </c>
      <c r="F293" s="27">
        <f>SUM(F294:F296)</f>
        <v>6760</v>
      </c>
      <c r="G293" s="24" t="s">
        <v>3</v>
      </c>
      <c r="H293" s="24" t="s">
        <v>3</v>
      </c>
    </row>
    <row r="294" spans="1:8" x14ac:dyDescent="0.25">
      <c r="A294" s="5" t="s">
        <v>3</v>
      </c>
      <c r="B294" s="5" t="s">
        <v>3</v>
      </c>
      <c r="C294" s="5" t="s">
        <v>747</v>
      </c>
      <c r="D294" s="6">
        <v>2700</v>
      </c>
      <c r="E294" s="6">
        <v>0</v>
      </c>
      <c r="F294" s="6">
        <f>D294+E294</f>
        <v>2700</v>
      </c>
      <c r="G294" s="5" t="s">
        <v>3</v>
      </c>
      <c r="H294" s="5" t="s">
        <v>3</v>
      </c>
    </row>
    <row r="295" spans="1:8" x14ac:dyDescent="0.25">
      <c r="A295" s="5" t="s">
        <v>3</v>
      </c>
      <c r="B295" s="5" t="s">
        <v>3</v>
      </c>
      <c r="C295" s="5" t="s">
        <v>863</v>
      </c>
      <c r="D295" s="6">
        <v>2060</v>
      </c>
      <c r="E295" s="6">
        <v>0</v>
      </c>
      <c r="F295" s="6">
        <f>D295+E295</f>
        <v>2060</v>
      </c>
      <c r="G295" s="5" t="s">
        <v>3</v>
      </c>
      <c r="H295" s="5" t="s">
        <v>3</v>
      </c>
    </row>
    <row r="296" spans="1:8" x14ac:dyDescent="0.25">
      <c r="A296" s="5" t="s">
        <v>3</v>
      </c>
      <c r="B296" s="5" t="s">
        <v>3</v>
      </c>
      <c r="C296" s="5" t="s">
        <v>748</v>
      </c>
      <c r="D296" s="6">
        <v>2000</v>
      </c>
      <c r="E296" s="6">
        <v>0</v>
      </c>
      <c r="F296" s="6">
        <f>D296+E296</f>
        <v>2000</v>
      </c>
      <c r="G296" s="5" t="s">
        <v>3</v>
      </c>
      <c r="H296" s="5" t="s">
        <v>3</v>
      </c>
    </row>
    <row r="297" spans="1:8" x14ac:dyDescent="0.25">
      <c r="A297" s="24" t="s">
        <v>464</v>
      </c>
      <c r="B297" s="24" t="s">
        <v>465</v>
      </c>
      <c r="C297" s="24" t="s">
        <v>499</v>
      </c>
      <c r="D297" s="27">
        <f>SUM(D298:D298)</f>
        <v>0</v>
      </c>
      <c r="E297" s="27">
        <f>SUM(E298:E298)</f>
        <v>23711.09</v>
      </c>
      <c r="F297" s="27">
        <f>SUM(F298:F298)</f>
        <v>23711.09</v>
      </c>
      <c r="G297" s="24" t="s">
        <v>3</v>
      </c>
      <c r="H297" s="24" t="s">
        <v>3</v>
      </c>
    </row>
    <row r="298" spans="1:8" x14ac:dyDescent="0.25">
      <c r="A298" s="5" t="s">
        <v>3</v>
      </c>
      <c r="B298" s="5" t="s">
        <v>3</v>
      </c>
      <c r="C298" s="5" t="s">
        <v>146</v>
      </c>
      <c r="D298" s="6">
        <v>0</v>
      </c>
      <c r="E298" s="29">
        <v>23711.09</v>
      </c>
      <c r="F298" s="6">
        <f>D298+E298</f>
        <v>23711.09</v>
      </c>
      <c r="G298" s="23" t="s">
        <v>864</v>
      </c>
      <c r="H298" s="5" t="s">
        <v>3</v>
      </c>
    </row>
    <row r="299" spans="1:8" x14ac:dyDescent="0.25">
      <c r="A299" s="24" t="s">
        <v>466</v>
      </c>
      <c r="B299" s="24" t="s">
        <v>467</v>
      </c>
      <c r="C299" s="24" t="s">
        <v>499</v>
      </c>
      <c r="D299" s="27">
        <f>SUM(D300:D300)</f>
        <v>1000</v>
      </c>
      <c r="E299" s="27">
        <f>SUM(E300:E300)</f>
        <v>0</v>
      </c>
      <c r="F299" s="27">
        <f>SUM(F300:F300)</f>
        <v>1000</v>
      </c>
      <c r="G299" s="24" t="s">
        <v>3</v>
      </c>
      <c r="H299" s="24" t="s">
        <v>3</v>
      </c>
    </row>
    <row r="300" spans="1:8" x14ac:dyDescent="0.25">
      <c r="A300" s="5" t="s">
        <v>3</v>
      </c>
      <c r="B300" s="5" t="s">
        <v>3</v>
      </c>
      <c r="C300" s="5" t="s">
        <v>865</v>
      </c>
      <c r="D300" s="6">
        <v>1000</v>
      </c>
      <c r="E300" s="6">
        <v>0</v>
      </c>
      <c r="F300" s="6">
        <f>D300+E300</f>
        <v>1000</v>
      </c>
      <c r="G300" s="5" t="s">
        <v>3</v>
      </c>
      <c r="H300" s="5" t="s">
        <v>3</v>
      </c>
    </row>
    <row r="301" spans="1:8" x14ac:dyDescent="0.25">
      <c r="A301" s="24" t="s">
        <v>472</v>
      </c>
      <c r="B301" s="24" t="s">
        <v>473</v>
      </c>
      <c r="C301" s="24" t="s">
        <v>499</v>
      </c>
      <c r="D301" s="27">
        <f>SUM(D302:D303)</f>
        <v>1593.72</v>
      </c>
      <c r="E301" s="27">
        <f>SUM(E302:E303)</f>
        <v>-1467.02</v>
      </c>
      <c r="F301" s="27">
        <f>SUM(F302:F303)</f>
        <v>126.7</v>
      </c>
      <c r="G301" s="24" t="s">
        <v>3</v>
      </c>
      <c r="H301" s="24" t="s">
        <v>3</v>
      </c>
    </row>
    <row r="302" spans="1:8" x14ac:dyDescent="0.25">
      <c r="A302" s="5" t="s">
        <v>3</v>
      </c>
      <c r="B302" s="5" t="s">
        <v>3</v>
      </c>
      <c r="C302" s="5" t="s">
        <v>117</v>
      </c>
      <c r="D302" s="6">
        <v>1467.02</v>
      </c>
      <c r="E302" s="28">
        <v>-1467.02</v>
      </c>
      <c r="F302" s="6">
        <f>D302+E302</f>
        <v>0</v>
      </c>
      <c r="G302" s="22" t="s">
        <v>866</v>
      </c>
      <c r="H302" s="5" t="s">
        <v>3</v>
      </c>
    </row>
    <row r="303" spans="1:8" x14ac:dyDescent="0.25">
      <c r="A303" s="5" t="s">
        <v>3</v>
      </c>
      <c r="B303" s="5" t="s">
        <v>3</v>
      </c>
      <c r="C303" s="5" t="s">
        <v>626</v>
      </c>
      <c r="D303" s="6">
        <v>126.7</v>
      </c>
      <c r="E303" s="6">
        <v>0</v>
      </c>
      <c r="F303" s="6">
        <f>D303+E303</f>
        <v>126.7</v>
      </c>
      <c r="G303" s="5" t="s">
        <v>3</v>
      </c>
      <c r="H303" s="5" t="s">
        <v>3</v>
      </c>
    </row>
    <row r="304" spans="1:8" x14ac:dyDescent="0.25">
      <c r="A304" s="24" t="s">
        <v>474</v>
      </c>
      <c r="B304" s="24" t="s">
        <v>475</v>
      </c>
      <c r="C304" s="24" t="s">
        <v>499</v>
      </c>
      <c r="D304" s="27">
        <f>SUM(D305:D309)</f>
        <v>44484.09</v>
      </c>
      <c r="E304" s="27">
        <f>SUM(E305:E309)</f>
        <v>-40000</v>
      </c>
      <c r="F304" s="27">
        <f>SUM(F305:F309)</f>
        <v>4484.09</v>
      </c>
      <c r="G304" s="24" t="s">
        <v>3</v>
      </c>
      <c r="H304" s="24" t="s">
        <v>3</v>
      </c>
    </row>
    <row r="305" spans="1:8" x14ac:dyDescent="0.25">
      <c r="A305" s="5" t="s">
        <v>3</v>
      </c>
      <c r="B305" s="5" t="s">
        <v>3</v>
      </c>
      <c r="C305" s="5" t="s">
        <v>108</v>
      </c>
      <c r="D305" s="6">
        <v>40166</v>
      </c>
      <c r="E305" s="28">
        <v>-40000</v>
      </c>
      <c r="F305" s="6">
        <f>D305+E305</f>
        <v>166</v>
      </c>
      <c r="G305" s="22" t="s">
        <v>867</v>
      </c>
      <c r="H305" s="5" t="s">
        <v>3</v>
      </c>
    </row>
    <row r="306" spans="1:8" x14ac:dyDescent="0.25">
      <c r="A306" s="5" t="s">
        <v>3</v>
      </c>
      <c r="B306" s="5" t="s">
        <v>3</v>
      </c>
      <c r="C306" s="5" t="s">
        <v>868</v>
      </c>
      <c r="D306" s="6">
        <v>4050.17</v>
      </c>
      <c r="E306" s="6">
        <v>0</v>
      </c>
      <c r="F306" s="6">
        <f>D306+E306</f>
        <v>4050.17</v>
      </c>
      <c r="G306" s="5" t="s">
        <v>3</v>
      </c>
      <c r="H306" s="5" t="s">
        <v>3</v>
      </c>
    </row>
    <row r="307" spans="1:8" x14ac:dyDescent="0.25">
      <c r="A307" s="5" t="s">
        <v>3</v>
      </c>
      <c r="B307" s="5" t="s">
        <v>3</v>
      </c>
      <c r="C307" s="5" t="s">
        <v>626</v>
      </c>
      <c r="D307" s="6">
        <v>212</v>
      </c>
      <c r="E307" s="6">
        <v>0</v>
      </c>
      <c r="F307" s="6">
        <f>D307+E307</f>
        <v>212</v>
      </c>
      <c r="G307" s="5" t="s">
        <v>3</v>
      </c>
      <c r="H307" s="5" t="s">
        <v>3</v>
      </c>
    </row>
    <row r="308" spans="1:8" x14ac:dyDescent="0.25">
      <c r="A308" s="5" t="s">
        <v>3</v>
      </c>
      <c r="B308" s="5" t="s">
        <v>3</v>
      </c>
      <c r="C308" s="5" t="s">
        <v>758</v>
      </c>
      <c r="D308" s="6">
        <v>52.42</v>
      </c>
      <c r="E308" s="6">
        <v>0</v>
      </c>
      <c r="F308" s="6">
        <f>D308+E308</f>
        <v>52.42</v>
      </c>
      <c r="G308" s="5" t="s">
        <v>3</v>
      </c>
      <c r="H308" s="5" t="s">
        <v>3</v>
      </c>
    </row>
    <row r="309" spans="1:8" x14ac:dyDescent="0.25">
      <c r="A309" s="5" t="s">
        <v>3</v>
      </c>
      <c r="B309" s="5" t="s">
        <v>3</v>
      </c>
      <c r="C309" s="5" t="s">
        <v>869</v>
      </c>
      <c r="D309" s="6">
        <v>3.5</v>
      </c>
      <c r="E309" s="6">
        <v>0</v>
      </c>
      <c r="F309" s="6">
        <f>D309+E309</f>
        <v>3.5</v>
      </c>
      <c r="G309" s="5" t="s">
        <v>3</v>
      </c>
      <c r="H309" s="5" t="s">
        <v>3</v>
      </c>
    </row>
    <row r="310" spans="1:8" x14ac:dyDescent="0.25">
      <c r="A310" s="24" t="s">
        <v>476</v>
      </c>
      <c r="B310" s="24" t="s">
        <v>477</v>
      </c>
      <c r="C310" s="24" t="s">
        <v>499</v>
      </c>
      <c r="D310" s="27">
        <f>SUM(D311:D311)</f>
        <v>1937.8</v>
      </c>
      <c r="E310" s="27">
        <f>SUM(E311:E311)</f>
        <v>0</v>
      </c>
      <c r="F310" s="27">
        <f>SUM(F311:F311)</f>
        <v>1937.8</v>
      </c>
      <c r="G310" s="24" t="s">
        <v>3</v>
      </c>
      <c r="H310" s="24" t="s">
        <v>3</v>
      </c>
    </row>
    <row r="311" spans="1:8" x14ac:dyDescent="0.25">
      <c r="A311" s="5" t="s">
        <v>3</v>
      </c>
      <c r="B311" s="5" t="s">
        <v>3</v>
      </c>
      <c r="C311" s="5" t="s">
        <v>870</v>
      </c>
      <c r="D311" s="6">
        <v>1937.8</v>
      </c>
      <c r="E311" s="6">
        <v>0</v>
      </c>
      <c r="F311" s="6">
        <f>D311+E311</f>
        <v>1937.8</v>
      </c>
      <c r="G311" s="5" t="s">
        <v>3</v>
      </c>
      <c r="H311" s="5" t="s">
        <v>3</v>
      </c>
    </row>
    <row r="312" spans="1:8" x14ac:dyDescent="0.25">
      <c r="A312" s="24" t="s">
        <v>479</v>
      </c>
      <c r="B312" s="24" t="s">
        <v>480</v>
      </c>
      <c r="C312" s="24" t="s">
        <v>499</v>
      </c>
      <c r="D312" s="27">
        <f>SUM(D313:D408)</f>
        <v>142570.77</v>
      </c>
      <c r="E312" s="27">
        <f>SUM(E313:E408)</f>
        <v>0</v>
      </c>
      <c r="F312" s="27">
        <f>SUM(F313:F408)</f>
        <v>142570.77</v>
      </c>
      <c r="G312" s="24" t="s">
        <v>3</v>
      </c>
      <c r="H312" s="24" t="s">
        <v>3</v>
      </c>
    </row>
    <row r="313" spans="1:8" x14ac:dyDescent="0.25">
      <c r="A313" s="5" t="s">
        <v>3</v>
      </c>
      <c r="B313" s="5" t="s">
        <v>3</v>
      </c>
      <c r="C313" s="5" t="s">
        <v>644</v>
      </c>
      <c r="D313" s="6">
        <v>14262.93</v>
      </c>
      <c r="E313" s="6">
        <v>0</v>
      </c>
      <c r="F313" s="6">
        <f>D313+E313</f>
        <v>14262.93</v>
      </c>
      <c r="G313" s="5" t="s">
        <v>3</v>
      </c>
      <c r="H313" s="5" t="s">
        <v>3</v>
      </c>
    </row>
    <row r="314" spans="1:8" x14ac:dyDescent="0.25">
      <c r="A314" s="5" t="s">
        <v>3</v>
      </c>
      <c r="B314" s="5" t="s">
        <v>3</v>
      </c>
      <c r="C314" s="5" t="s">
        <v>871</v>
      </c>
      <c r="D314" s="6">
        <v>14262.93</v>
      </c>
      <c r="E314" s="6">
        <v>0</v>
      </c>
      <c r="F314" s="6">
        <f>D314+E314</f>
        <v>14262.93</v>
      </c>
      <c r="G314" s="5" t="s">
        <v>3</v>
      </c>
      <c r="H314" s="5" t="s">
        <v>3</v>
      </c>
    </row>
    <row r="315" spans="1:8" x14ac:dyDescent="0.25">
      <c r="A315" s="5" t="s">
        <v>3</v>
      </c>
      <c r="B315" s="5" t="s">
        <v>3</v>
      </c>
      <c r="C315" s="5" t="s">
        <v>827</v>
      </c>
      <c r="D315" s="6">
        <v>12780.46</v>
      </c>
      <c r="E315" s="6">
        <v>0</v>
      </c>
      <c r="F315" s="6">
        <f>D315+E315</f>
        <v>12780.46</v>
      </c>
      <c r="G315" s="5" t="s">
        <v>3</v>
      </c>
      <c r="H315" s="5" t="s">
        <v>3</v>
      </c>
    </row>
    <row r="316" spans="1:8" x14ac:dyDescent="0.25">
      <c r="A316" s="5" t="s">
        <v>3</v>
      </c>
      <c r="B316" s="5" t="s">
        <v>3</v>
      </c>
      <c r="C316" s="5" t="s">
        <v>626</v>
      </c>
      <c r="D316" s="6">
        <v>11506.23</v>
      </c>
      <c r="E316" s="6">
        <v>0</v>
      </c>
      <c r="F316" s="6">
        <f>D316+E316</f>
        <v>11506.23</v>
      </c>
      <c r="G316" s="5" t="s">
        <v>3</v>
      </c>
      <c r="H316" s="5" t="s">
        <v>872</v>
      </c>
    </row>
    <row r="317" spans="1:8" x14ac:dyDescent="0.25">
      <c r="A317" s="5" t="s">
        <v>3</v>
      </c>
      <c r="B317" s="5" t="s">
        <v>3</v>
      </c>
      <c r="C317" s="5" t="s">
        <v>873</v>
      </c>
      <c r="D317" s="6">
        <v>-11447.89</v>
      </c>
      <c r="E317" s="6">
        <v>0</v>
      </c>
      <c r="F317" s="6">
        <f>D317+E317</f>
        <v>-11447.89</v>
      </c>
      <c r="G317" s="5" t="s">
        <v>3</v>
      </c>
      <c r="H317" s="5" t="s">
        <v>874</v>
      </c>
    </row>
    <row r="318" spans="1:8" x14ac:dyDescent="0.25">
      <c r="A318" s="5" t="s">
        <v>3</v>
      </c>
      <c r="B318" s="5" t="s">
        <v>3</v>
      </c>
      <c r="C318" s="5" t="s">
        <v>875</v>
      </c>
      <c r="D318" s="6">
        <v>9500</v>
      </c>
      <c r="E318" s="6">
        <v>0</v>
      </c>
      <c r="F318" s="6">
        <f>D318+E318</f>
        <v>9500</v>
      </c>
      <c r="G318" s="5" t="s">
        <v>3</v>
      </c>
      <c r="H318" s="5" t="s">
        <v>3</v>
      </c>
    </row>
    <row r="319" spans="1:8" x14ac:dyDescent="0.25">
      <c r="A319" s="5" t="s">
        <v>3</v>
      </c>
      <c r="B319" s="5" t="s">
        <v>3</v>
      </c>
      <c r="C319" s="5" t="s">
        <v>876</v>
      </c>
      <c r="D319" s="6">
        <v>8165.1</v>
      </c>
      <c r="E319" s="6">
        <v>0</v>
      </c>
      <c r="F319" s="6">
        <f>D319+E319</f>
        <v>8165.1</v>
      </c>
      <c r="G319" s="5" t="s">
        <v>3</v>
      </c>
      <c r="H319" s="5" t="s">
        <v>3</v>
      </c>
    </row>
    <row r="320" spans="1:8" x14ac:dyDescent="0.25">
      <c r="A320" s="5" t="s">
        <v>3</v>
      </c>
      <c r="B320" s="5" t="s">
        <v>3</v>
      </c>
      <c r="C320" s="5" t="s">
        <v>877</v>
      </c>
      <c r="D320" s="6">
        <v>6000</v>
      </c>
      <c r="E320" s="6">
        <v>0</v>
      </c>
      <c r="F320" s="6">
        <f>D320+E320</f>
        <v>6000</v>
      </c>
      <c r="G320" s="5" t="s">
        <v>3</v>
      </c>
      <c r="H320" s="5" t="s">
        <v>529</v>
      </c>
    </row>
    <row r="321" spans="1:8" x14ac:dyDescent="0.25">
      <c r="A321" s="5" t="s">
        <v>3</v>
      </c>
      <c r="B321" s="5" t="s">
        <v>3</v>
      </c>
      <c r="C321" s="5" t="s">
        <v>878</v>
      </c>
      <c r="D321" s="6">
        <v>5789.35</v>
      </c>
      <c r="E321" s="6">
        <v>0</v>
      </c>
      <c r="F321" s="6">
        <f>D321+E321</f>
        <v>5789.35</v>
      </c>
      <c r="G321" s="5" t="s">
        <v>3</v>
      </c>
      <c r="H321" s="5" t="s">
        <v>879</v>
      </c>
    </row>
    <row r="322" spans="1:8" x14ac:dyDescent="0.25">
      <c r="A322" s="5" t="s">
        <v>3</v>
      </c>
      <c r="B322" s="5" t="s">
        <v>3</v>
      </c>
      <c r="C322" s="5" t="s">
        <v>880</v>
      </c>
      <c r="D322" s="6">
        <v>5538.2</v>
      </c>
      <c r="E322" s="6">
        <v>0</v>
      </c>
      <c r="F322" s="6">
        <f>D322+E322</f>
        <v>5538.2</v>
      </c>
      <c r="G322" s="5" t="s">
        <v>3</v>
      </c>
      <c r="H322" s="5" t="s">
        <v>3</v>
      </c>
    </row>
    <row r="323" spans="1:8" x14ac:dyDescent="0.25">
      <c r="A323" s="5" t="s">
        <v>3</v>
      </c>
      <c r="B323" s="5" t="s">
        <v>3</v>
      </c>
      <c r="C323" s="5" t="s">
        <v>881</v>
      </c>
      <c r="D323" s="6">
        <v>4003.07</v>
      </c>
      <c r="E323" s="6">
        <v>0</v>
      </c>
      <c r="F323" s="6">
        <f>D323+E323</f>
        <v>4003.07</v>
      </c>
      <c r="G323" s="5" t="s">
        <v>3</v>
      </c>
      <c r="H323" s="5" t="s">
        <v>3</v>
      </c>
    </row>
    <row r="324" spans="1:8" x14ac:dyDescent="0.25">
      <c r="A324" s="5" t="s">
        <v>3</v>
      </c>
      <c r="B324" s="5" t="s">
        <v>3</v>
      </c>
      <c r="C324" s="5" t="s">
        <v>882</v>
      </c>
      <c r="D324" s="6">
        <v>4000</v>
      </c>
      <c r="E324" s="6">
        <v>0</v>
      </c>
      <c r="F324" s="6">
        <f>D324+E324</f>
        <v>4000</v>
      </c>
      <c r="G324" s="5" t="s">
        <v>3</v>
      </c>
      <c r="H324" s="5" t="s">
        <v>736</v>
      </c>
    </row>
    <row r="325" spans="1:8" x14ac:dyDescent="0.25">
      <c r="A325" s="5" t="s">
        <v>3</v>
      </c>
      <c r="B325" s="5" t="s">
        <v>3</v>
      </c>
      <c r="C325" s="5" t="s">
        <v>883</v>
      </c>
      <c r="D325" s="6">
        <v>3325</v>
      </c>
      <c r="E325" s="6">
        <v>0</v>
      </c>
      <c r="F325" s="6">
        <f>D325+E325</f>
        <v>3325</v>
      </c>
      <c r="G325" s="5" t="s">
        <v>3</v>
      </c>
      <c r="H325" s="5" t="s">
        <v>3</v>
      </c>
    </row>
    <row r="326" spans="1:8" x14ac:dyDescent="0.25">
      <c r="A326" s="5" t="s">
        <v>3</v>
      </c>
      <c r="B326" s="5" t="s">
        <v>3</v>
      </c>
      <c r="C326" s="5" t="s">
        <v>884</v>
      </c>
      <c r="D326" s="6">
        <v>3000</v>
      </c>
      <c r="E326" s="6">
        <v>0</v>
      </c>
      <c r="F326" s="6">
        <f>D326+E326</f>
        <v>3000</v>
      </c>
      <c r="G326" s="5" t="s">
        <v>3</v>
      </c>
      <c r="H326" s="5" t="s">
        <v>529</v>
      </c>
    </row>
    <row r="327" spans="1:8" x14ac:dyDescent="0.25">
      <c r="A327" s="5" t="s">
        <v>3</v>
      </c>
      <c r="B327" s="5" t="s">
        <v>3</v>
      </c>
      <c r="C327" s="5" t="s">
        <v>885</v>
      </c>
      <c r="D327" s="6">
        <v>2998.3</v>
      </c>
      <c r="E327" s="6">
        <v>0</v>
      </c>
      <c r="F327" s="6">
        <f>D327+E327</f>
        <v>2998.3</v>
      </c>
      <c r="G327" s="5" t="s">
        <v>3</v>
      </c>
      <c r="H327" s="5" t="s">
        <v>3</v>
      </c>
    </row>
    <row r="328" spans="1:8" x14ac:dyDescent="0.25">
      <c r="A328" s="5" t="s">
        <v>3</v>
      </c>
      <c r="B328" s="5" t="s">
        <v>3</v>
      </c>
      <c r="C328" s="5" t="s">
        <v>886</v>
      </c>
      <c r="D328" s="6">
        <v>2920.03</v>
      </c>
      <c r="E328" s="6">
        <v>0</v>
      </c>
      <c r="F328" s="6">
        <f>D328+E328</f>
        <v>2920.03</v>
      </c>
      <c r="G328" s="5" t="s">
        <v>3</v>
      </c>
      <c r="H328" s="5" t="s">
        <v>887</v>
      </c>
    </row>
    <row r="329" spans="1:8" x14ac:dyDescent="0.25">
      <c r="A329" s="5" t="s">
        <v>3</v>
      </c>
      <c r="B329" s="5" t="s">
        <v>3</v>
      </c>
      <c r="C329" s="5" t="s">
        <v>888</v>
      </c>
      <c r="D329" s="6">
        <v>2754.88</v>
      </c>
      <c r="E329" s="6">
        <v>0</v>
      </c>
      <c r="F329" s="6">
        <f>D329+E329</f>
        <v>2754.88</v>
      </c>
      <c r="G329" s="5" t="s">
        <v>3</v>
      </c>
      <c r="H329" s="5" t="s">
        <v>889</v>
      </c>
    </row>
    <row r="330" spans="1:8" x14ac:dyDescent="0.25">
      <c r="A330" s="5" t="s">
        <v>3</v>
      </c>
      <c r="B330" s="5" t="s">
        <v>3</v>
      </c>
      <c r="C330" s="5" t="s">
        <v>890</v>
      </c>
      <c r="D330" s="6">
        <v>2500</v>
      </c>
      <c r="E330" s="6">
        <v>0</v>
      </c>
      <c r="F330" s="6">
        <f>D330+E330</f>
        <v>2500</v>
      </c>
      <c r="G330" s="5" t="s">
        <v>3</v>
      </c>
      <c r="H330" s="5" t="s">
        <v>719</v>
      </c>
    </row>
    <row r="331" spans="1:8" x14ac:dyDescent="0.25">
      <c r="A331" s="5" t="s">
        <v>3</v>
      </c>
      <c r="B331" s="5" t="s">
        <v>3</v>
      </c>
      <c r="C331" s="5" t="s">
        <v>891</v>
      </c>
      <c r="D331" s="6">
        <v>2450.65</v>
      </c>
      <c r="E331" s="6">
        <v>0</v>
      </c>
      <c r="F331" s="6">
        <f>D331+E331</f>
        <v>2450.65</v>
      </c>
      <c r="G331" s="5" t="s">
        <v>3</v>
      </c>
      <c r="H331" s="5" t="s">
        <v>892</v>
      </c>
    </row>
    <row r="332" spans="1:8" x14ac:dyDescent="0.25">
      <c r="A332" s="5" t="s">
        <v>3</v>
      </c>
      <c r="B332" s="5" t="s">
        <v>3</v>
      </c>
      <c r="C332" s="5" t="s">
        <v>893</v>
      </c>
      <c r="D332" s="6">
        <v>1897</v>
      </c>
      <c r="E332" s="6">
        <v>0</v>
      </c>
      <c r="F332" s="6">
        <f>D332+E332</f>
        <v>1897</v>
      </c>
      <c r="G332" s="5" t="s">
        <v>3</v>
      </c>
      <c r="H332" s="5" t="s">
        <v>894</v>
      </c>
    </row>
    <row r="333" spans="1:8" x14ac:dyDescent="0.25">
      <c r="A333" s="5" t="s">
        <v>3</v>
      </c>
      <c r="B333" s="5" t="s">
        <v>3</v>
      </c>
      <c r="C333" s="5" t="s">
        <v>895</v>
      </c>
      <c r="D333" s="6">
        <v>1883.82</v>
      </c>
      <c r="E333" s="6">
        <v>0</v>
      </c>
      <c r="F333" s="6">
        <f>D333+E333</f>
        <v>1883.82</v>
      </c>
      <c r="G333" s="5" t="s">
        <v>3</v>
      </c>
      <c r="H333" s="5" t="s">
        <v>896</v>
      </c>
    </row>
    <row r="334" spans="1:8" x14ac:dyDescent="0.25">
      <c r="A334" s="5" t="s">
        <v>3</v>
      </c>
      <c r="B334" s="5" t="s">
        <v>3</v>
      </c>
      <c r="C334" s="5" t="s">
        <v>897</v>
      </c>
      <c r="D334" s="6">
        <v>1797</v>
      </c>
      <c r="E334" s="6">
        <v>0</v>
      </c>
      <c r="F334" s="6">
        <f>D334+E334</f>
        <v>1797</v>
      </c>
      <c r="G334" s="5" t="s">
        <v>3</v>
      </c>
      <c r="H334" s="5" t="s">
        <v>898</v>
      </c>
    </row>
    <row r="335" spans="1:8" x14ac:dyDescent="0.25">
      <c r="A335" s="5" t="s">
        <v>3</v>
      </c>
      <c r="B335" s="5" t="s">
        <v>3</v>
      </c>
      <c r="C335" s="5" t="s">
        <v>749</v>
      </c>
      <c r="D335" s="6">
        <v>1797</v>
      </c>
      <c r="E335" s="6">
        <v>0</v>
      </c>
      <c r="F335" s="6">
        <f>D335+E335</f>
        <v>1797</v>
      </c>
      <c r="G335" s="5" t="s">
        <v>3</v>
      </c>
      <c r="H335" s="5" t="s">
        <v>3</v>
      </c>
    </row>
    <row r="336" spans="1:8" x14ac:dyDescent="0.25">
      <c r="A336" s="5" t="s">
        <v>3</v>
      </c>
      <c r="B336" s="5" t="s">
        <v>3</v>
      </c>
      <c r="C336" s="5" t="s">
        <v>899</v>
      </c>
      <c r="D336" s="6">
        <v>1731</v>
      </c>
      <c r="E336" s="6">
        <v>0</v>
      </c>
      <c r="F336" s="6">
        <f>D336+E336</f>
        <v>1731</v>
      </c>
      <c r="G336" s="5" t="s">
        <v>3</v>
      </c>
      <c r="H336" s="5" t="s">
        <v>900</v>
      </c>
    </row>
    <row r="337" spans="1:8" x14ac:dyDescent="0.25">
      <c r="A337" s="5" t="s">
        <v>3</v>
      </c>
      <c r="B337" s="5" t="s">
        <v>3</v>
      </c>
      <c r="C337" s="5" t="s">
        <v>901</v>
      </c>
      <c r="D337" s="6">
        <v>1719.6</v>
      </c>
      <c r="E337" s="6">
        <v>0</v>
      </c>
      <c r="F337" s="6">
        <f>D337+E337</f>
        <v>1719.6</v>
      </c>
      <c r="G337" s="5" t="s">
        <v>3</v>
      </c>
      <c r="H337" s="5" t="s">
        <v>902</v>
      </c>
    </row>
    <row r="338" spans="1:8" x14ac:dyDescent="0.25">
      <c r="A338" s="5" t="s">
        <v>3</v>
      </c>
      <c r="B338" s="5" t="s">
        <v>3</v>
      </c>
      <c r="C338" s="5" t="s">
        <v>903</v>
      </c>
      <c r="D338" s="6">
        <v>1350</v>
      </c>
      <c r="E338" s="6">
        <v>0</v>
      </c>
      <c r="F338" s="6">
        <f>D338+E338</f>
        <v>1350</v>
      </c>
      <c r="G338" s="5" t="s">
        <v>3</v>
      </c>
      <c r="H338" s="5" t="s">
        <v>904</v>
      </c>
    </row>
    <row r="339" spans="1:8" x14ac:dyDescent="0.25">
      <c r="A339" s="5" t="s">
        <v>3</v>
      </c>
      <c r="B339" s="5" t="s">
        <v>3</v>
      </c>
      <c r="C339" s="5" t="s">
        <v>905</v>
      </c>
      <c r="D339" s="6">
        <v>1318.71</v>
      </c>
      <c r="E339" s="6">
        <v>0</v>
      </c>
      <c r="F339" s="6">
        <f>D339+E339</f>
        <v>1318.71</v>
      </c>
      <c r="G339" s="5" t="s">
        <v>3</v>
      </c>
      <c r="H339" s="5" t="s">
        <v>906</v>
      </c>
    </row>
    <row r="340" spans="1:8" x14ac:dyDescent="0.25">
      <c r="A340" s="5" t="s">
        <v>3</v>
      </c>
      <c r="B340" s="5" t="s">
        <v>3</v>
      </c>
      <c r="C340" s="5" t="s">
        <v>907</v>
      </c>
      <c r="D340" s="6">
        <v>1250</v>
      </c>
      <c r="E340" s="6">
        <v>0</v>
      </c>
      <c r="F340" s="6">
        <f>D340+E340</f>
        <v>1250</v>
      </c>
      <c r="G340" s="5" t="s">
        <v>3</v>
      </c>
      <c r="H340" s="5" t="s">
        <v>540</v>
      </c>
    </row>
    <row r="341" spans="1:8" x14ac:dyDescent="0.25">
      <c r="A341" s="5" t="s">
        <v>3</v>
      </c>
      <c r="B341" s="5" t="s">
        <v>3</v>
      </c>
      <c r="C341" s="5" t="s">
        <v>908</v>
      </c>
      <c r="D341" s="6">
        <v>1229.85</v>
      </c>
      <c r="E341" s="6">
        <v>0</v>
      </c>
      <c r="F341" s="6">
        <f>D341+E341</f>
        <v>1229.85</v>
      </c>
      <c r="G341" s="5" t="s">
        <v>3</v>
      </c>
      <c r="H341" s="5" t="s">
        <v>3</v>
      </c>
    </row>
    <row r="342" spans="1:8" x14ac:dyDescent="0.25">
      <c r="A342" s="5" t="s">
        <v>3</v>
      </c>
      <c r="B342" s="5" t="s">
        <v>3</v>
      </c>
      <c r="C342" s="5" t="s">
        <v>909</v>
      </c>
      <c r="D342" s="6">
        <v>1225.2</v>
      </c>
      <c r="E342" s="6">
        <v>0</v>
      </c>
      <c r="F342" s="6">
        <f>D342+E342</f>
        <v>1225.2</v>
      </c>
      <c r="G342" s="5" t="s">
        <v>3</v>
      </c>
      <c r="H342" s="5" t="s">
        <v>910</v>
      </c>
    </row>
    <row r="343" spans="1:8" x14ac:dyDescent="0.25">
      <c r="A343" s="5" t="s">
        <v>3</v>
      </c>
      <c r="B343" s="5" t="s">
        <v>3</v>
      </c>
      <c r="C343" s="5" t="s">
        <v>911</v>
      </c>
      <c r="D343" s="6">
        <v>1140.42</v>
      </c>
      <c r="E343" s="6">
        <v>0</v>
      </c>
      <c r="F343" s="6">
        <f>D343+E343</f>
        <v>1140.42</v>
      </c>
      <c r="G343" s="5" t="s">
        <v>3</v>
      </c>
      <c r="H343" s="5" t="s">
        <v>912</v>
      </c>
    </row>
    <row r="344" spans="1:8" x14ac:dyDescent="0.25">
      <c r="A344" s="5" t="s">
        <v>3</v>
      </c>
      <c r="B344" s="5" t="s">
        <v>3</v>
      </c>
      <c r="C344" s="5" t="s">
        <v>646</v>
      </c>
      <c r="D344" s="6">
        <v>1132.68</v>
      </c>
      <c r="E344" s="6">
        <v>0</v>
      </c>
      <c r="F344" s="6">
        <f>D344+E344</f>
        <v>1132.68</v>
      </c>
      <c r="G344" s="5" t="s">
        <v>3</v>
      </c>
      <c r="H344" s="5" t="s">
        <v>913</v>
      </c>
    </row>
    <row r="345" spans="1:8" x14ac:dyDescent="0.25">
      <c r="A345" s="5" t="s">
        <v>3</v>
      </c>
      <c r="B345" s="5" t="s">
        <v>3</v>
      </c>
      <c r="C345" s="5" t="s">
        <v>914</v>
      </c>
      <c r="D345" s="6">
        <v>1003.07</v>
      </c>
      <c r="E345" s="6">
        <v>0</v>
      </c>
      <c r="F345" s="6">
        <f>D345+E345</f>
        <v>1003.07</v>
      </c>
      <c r="G345" s="5" t="s">
        <v>3</v>
      </c>
      <c r="H345" s="5" t="s">
        <v>915</v>
      </c>
    </row>
    <row r="346" spans="1:8" x14ac:dyDescent="0.25">
      <c r="A346" s="5" t="s">
        <v>3</v>
      </c>
      <c r="B346" s="5" t="s">
        <v>3</v>
      </c>
      <c r="C346" s="5" t="s">
        <v>916</v>
      </c>
      <c r="D346" s="6">
        <v>869.54</v>
      </c>
      <c r="E346" s="6">
        <v>0</v>
      </c>
      <c r="F346" s="6">
        <f>D346+E346</f>
        <v>869.54</v>
      </c>
      <c r="G346" s="5" t="s">
        <v>3</v>
      </c>
      <c r="H346" s="5" t="s">
        <v>917</v>
      </c>
    </row>
    <row r="347" spans="1:8" x14ac:dyDescent="0.25">
      <c r="A347" s="5" t="s">
        <v>3</v>
      </c>
      <c r="B347" s="5" t="s">
        <v>3</v>
      </c>
      <c r="C347" s="5" t="s">
        <v>918</v>
      </c>
      <c r="D347" s="6">
        <v>868.9</v>
      </c>
      <c r="E347" s="6">
        <v>0</v>
      </c>
      <c r="F347" s="6">
        <f>D347+E347</f>
        <v>868.9</v>
      </c>
      <c r="G347" s="5" t="s">
        <v>3</v>
      </c>
      <c r="H347" s="5" t="s">
        <v>919</v>
      </c>
    </row>
    <row r="348" spans="1:8" x14ac:dyDescent="0.25">
      <c r="A348" s="5" t="s">
        <v>3</v>
      </c>
      <c r="B348" s="5" t="s">
        <v>3</v>
      </c>
      <c r="C348" s="5" t="s">
        <v>920</v>
      </c>
      <c r="D348" s="6">
        <v>854.82</v>
      </c>
      <c r="E348" s="6">
        <v>0</v>
      </c>
      <c r="F348" s="6">
        <f>D348+E348</f>
        <v>854.82</v>
      </c>
      <c r="G348" s="5" t="s">
        <v>3</v>
      </c>
      <c r="H348" s="5" t="s">
        <v>921</v>
      </c>
    </row>
    <row r="349" spans="1:8" x14ac:dyDescent="0.25">
      <c r="A349" s="5" t="s">
        <v>3</v>
      </c>
      <c r="B349" s="5" t="s">
        <v>3</v>
      </c>
      <c r="C349" s="5" t="s">
        <v>922</v>
      </c>
      <c r="D349" s="6">
        <v>829.88</v>
      </c>
      <c r="E349" s="6">
        <v>0</v>
      </c>
      <c r="F349" s="6">
        <f>D349+E349</f>
        <v>829.88</v>
      </c>
      <c r="G349" s="5" t="s">
        <v>3</v>
      </c>
      <c r="H349" s="5" t="s">
        <v>923</v>
      </c>
    </row>
    <row r="350" spans="1:8" x14ac:dyDescent="0.25">
      <c r="A350" s="5" t="s">
        <v>3</v>
      </c>
      <c r="B350" s="5" t="s">
        <v>3</v>
      </c>
      <c r="C350" s="5" t="s">
        <v>593</v>
      </c>
      <c r="D350" s="6">
        <v>824.55</v>
      </c>
      <c r="E350" s="6">
        <v>0</v>
      </c>
      <c r="F350" s="6">
        <f>D350+E350</f>
        <v>824.55</v>
      </c>
      <c r="G350" s="5" t="s">
        <v>3</v>
      </c>
      <c r="H350" s="5" t="s">
        <v>3</v>
      </c>
    </row>
    <row r="351" spans="1:8" x14ac:dyDescent="0.25">
      <c r="A351" s="5" t="s">
        <v>3</v>
      </c>
      <c r="B351" s="5" t="s">
        <v>3</v>
      </c>
      <c r="C351" s="5" t="s">
        <v>924</v>
      </c>
      <c r="D351" s="6">
        <v>821.19</v>
      </c>
      <c r="E351" s="6">
        <v>0</v>
      </c>
      <c r="F351" s="6">
        <f>D351+E351</f>
        <v>821.19</v>
      </c>
      <c r="G351" s="5" t="s">
        <v>3</v>
      </c>
      <c r="H351" s="5" t="s">
        <v>925</v>
      </c>
    </row>
    <row r="352" spans="1:8" x14ac:dyDescent="0.25">
      <c r="A352" s="5" t="s">
        <v>3</v>
      </c>
      <c r="B352" s="5" t="s">
        <v>3</v>
      </c>
      <c r="C352" s="5" t="s">
        <v>926</v>
      </c>
      <c r="D352" s="6">
        <v>798.65</v>
      </c>
      <c r="E352" s="6">
        <v>0</v>
      </c>
      <c r="F352" s="6">
        <f>D352+E352</f>
        <v>798.65</v>
      </c>
      <c r="G352" s="5" t="s">
        <v>3</v>
      </c>
      <c r="H352" s="5" t="s">
        <v>927</v>
      </c>
    </row>
    <row r="353" spans="1:8" x14ac:dyDescent="0.25">
      <c r="A353" s="5" t="s">
        <v>3</v>
      </c>
      <c r="B353" s="5" t="s">
        <v>3</v>
      </c>
      <c r="C353" s="5" t="s">
        <v>928</v>
      </c>
      <c r="D353" s="6">
        <v>678.42</v>
      </c>
      <c r="E353" s="6">
        <v>0</v>
      </c>
      <c r="F353" s="6">
        <f>D353+E353</f>
        <v>678.42</v>
      </c>
      <c r="G353" s="5" t="s">
        <v>3</v>
      </c>
      <c r="H353" s="5" t="s">
        <v>3</v>
      </c>
    </row>
    <row r="354" spans="1:8" x14ac:dyDescent="0.25">
      <c r="A354" s="5" t="s">
        <v>3</v>
      </c>
      <c r="B354" s="5" t="s">
        <v>3</v>
      </c>
      <c r="C354" s="5" t="s">
        <v>763</v>
      </c>
      <c r="D354" s="6">
        <v>675.49</v>
      </c>
      <c r="E354" s="6">
        <v>0</v>
      </c>
      <c r="F354" s="6">
        <f>D354+E354</f>
        <v>675.49</v>
      </c>
      <c r="G354" s="5" t="s">
        <v>3</v>
      </c>
      <c r="H354" s="5" t="s">
        <v>3</v>
      </c>
    </row>
    <row r="355" spans="1:8" x14ac:dyDescent="0.25">
      <c r="A355" s="5" t="s">
        <v>3</v>
      </c>
      <c r="B355" s="5" t="s">
        <v>3</v>
      </c>
      <c r="C355" s="5" t="s">
        <v>929</v>
      </c>
      <c r="D355" s="6">
        <v>579.91</v>
      </c>
      <c r="E355" s="6">
        <v>0</v>
      </c>
      <c r="F355" s="6">
        <f>D355+E355</f>
        <v>579.91</v>
      </c>
      <c r="G355" s="5" t="s">
        <v>3</v>
      </c>
      <c r="H355" s="5" t="s">
        <v>930</v>
      </c>
    </row>
    <row r="356" spans="1:8" x14ac:dyDescent="0.25">
      <c r="A356" s="5" t="s">
        <v>3</v>
      </c>
      <c r="B356" s="5" t="s">
        <v>3</v>
      </c>
      <c r="C356" s="5" t="s">
        <v>931</v>
      </c>
      <c r="D356" s="6">
        <v>550</v>
      </c>
      <c r="E356" s="6">
        <v>0</v>
      </c>
      <c r="F356" s="6">
        <f>D356+E356</f>
        <v>550</v>
      </c>
      <c r="G356" s="5" t="s">
        <v>3</v>
      </c>
      <c r="H356" s="5" t="s">
        <v>932</v>
      </c>
    </row>
    <row r="357" spans="1:8" x14ac:dyDescent="0.25">
      <c r="A357" s="5" t="s">
        <v>3</v>
      </c>
      <c r="B357" s="5" t="s">
        <v>3</v>
      </c>
      <c r="C357" s="5" t="s">
        <v>933</v>
      </c>
      <c r="D357" s="6">
        <v>510</v>
      </c>
      <c r="E357" s="6">
        <v>0</v>
      </c>
      <c r="F357" s="6">
        <f>D357+E357</f>
        <v>510</v>
      </c>
      <c r="G357" s="5" t="s">
        <v>3</v>
      </c>
      <c r="H357" s="5" t="s">
        <v>934</v>
      </c>
    </row>
    <row r="358" spans="1:8" x14ac:dyDescent="0.25">
      <c r="A358" s="5" t="s">
        <v>3</v>
      </c>
      <c r="B358" s="5" t="s">
        <v>3</v>
      </c>
      <c r="C358" s="5" t="s">
        <v>935</v>
      </c>
      <c r="D358" s="6">
        <v>462.76</v>
      </c>
      <c r="E358" s="6">
        <v>0</v>
      </c>
      <c r="F358" s="6">
        <f>D358+E358</f>
        <v>462.76</v>
      </c>
      <c r="G358" s="5" t="s">
        <v>3</v>
      </c>
      <c r="H358" s="5" t="s">
        <v>936</v>
      </c>
    </row>
    <row r="359" spans="1:8" x14ac:dyDescent="0.25">
      <c r="A359" s="5" t="s">
        <v>3</v>
      </c>
      <c r="B359" s="5" t="s">
        <v>3</v>
      </c>
      <c r="C359" s="5" t="s">
        <v>937</v>
      </c>
      <c r="D359" s="6">
        <v>404.35</v>
      </c>
      <c r="E359" s="6">
        <v>0</v>
      </c>
      <c r="F359" s="6">
        <f>D359+E359</f>
        <v>404.35</v>
      </c>
      <c r="G359" s="5" t="s">
        <v>3</v>
      </c>
      <c r="H359" s="5" t="s">
        <v>3</v>
      </c>
    </row>
    <row r="360" spans="1:8" x14ac:dyDescent="0.25">
      <c r="A360" s="5" t="s">
        <v>3</v>
      </c>
      <c r="B360" s="5" t="s">
        <v>3</v>
      </c>
      <c r="C360" s="5" t="s">
        <v>938</v>
      </c>
      <c r="D360" s="6">
        <v>399.6</v>
      </c>
      <c r="E360" s="6">
        <v>0</v>
      </c>
      <c r="F360" s="6">
        <f>D360+E360</f>
        <v>399.6</v>
      </c>
      <c r="G360" s="5" t="s">
        <v>3</v>
      </c>
      <c r="H360" s="5" t="s">
        <v>939</v>
      </c>
    </row>
    <row r="361" spans="1:8" x14ac:dyDescent="0.25">
      <c r="A361" s="5" t="s">
        <v>3</v>
      </c>
      <c r="B361" s="5" t="s">
        <v>3</v>
      </c>
      <c r="C361" s="5" t="s">
        <v>940</v>
      </c>
      <c r="D361" s="6">
        <v>370</v>
      </c>
      <c r="E361" s="6">
        <v>0</v>
      </c>
      <c r="F361" s="6">
        <f>D361+E361</f>
        <v>370</v>
      </c>
      <c r="G361" s="5" t="s">
        <v>3</v>
      </c>
      <c r="H361" s="5" t="s">
        <v>941</v>
      </c>
    </row>
    <row r="362" spans="1:8" x14ac:dyDescent="0.25">
      <c r="A362" s="5" t="s">
        <v>3</v>
      </c>
      <c r="B362" s="5" t="s">
        <v>3</v>
      </c>
      <c r="C362" s="5" t="s">
        <v>942</v>
      </c>
      <c r="D362" s="6">
        <v>335.96</v>
      </c>
      <c r="E362" s="6">
        <v>0</v>
      </c>
      <c r="F362" s="6">
        <f>D362+E362</f>
        <v>335.96</v>
      </c>
      <c r="G362" s="5" t="s">
        <v>3</v>
      </c>
      <c r="H362" s="5" t="s">
        <v>943</v>
      </c>
    </row>
    <row r="363" spans="1:8" x14ac:dyDescent="0.25">
      <c r="A363" s="5" t="s">
        <v>3</v>
      </c>
      <c r="B363" s="5" t="s">
        <v>3</v>
      </c>
      <c r="C363" s="5" t="s">
        <v>944</v>
      </c>
      <c r="D363" s="6">
        <v>328.4</v>
      </c>
      <c r="E363" s="6">
        <v>0</v>
      </c>
      <c r="F363" s="6">
        <f>D363+E363</f>
        <v>328.4</v>
      </c>
      <c r="G363" s="5" t="s">
        <v>3</v>
      </c>
      <c r="H363" s="5" t="s">
        <v>945</v>
      </c>
    </row>
    <row r="364" spans="1:8" x14ac:dyDescent="0.25">
      <c r="A364" s="5" t="s">
        <v>3</v>
      </c>
      <c r="B364" s="5" t="s">
        <v>3</v>
      </c>
      <c r="C364" s="5" t="s">
        <v>946</v>
      </c>
      <c r="D364" s="6">
        <v>321.17</v>
      </c>
      <c r="E364" s="6">
        <v>0</v>
      </c>
      <c r="F364" s="6">
        <f>D364+E364</f>
        <v>321.17</v>
      </c>
      <c r="G364" s="5" t="s">
        <v>3</v>
      </c>
      <c r="H364" s="5" t="s">
        <v>947</v>
      </c>
    </row>
    <row r="365" spans="1:8" x14ac:dyDescent="0.25">
      <c r="A365" s="5" t="s">
        <v>3</v>
      </c>
      <c r="B365" s="5" t="s">
        <v>3</v>
      </c>
      <c r="C365" s="5" t="s">
        <v>948</v>
      </c>
      <c r="D365" s="6">
        <v>317.91</v>
      </c>
      <c r="E365" s="6">
        <v>0</v>
      </c>
      <c r="F365" s="6">
        <f>D365+E365</f>
        <v>317.91</v>
      </c>
      <c r="G365" s="5" t="s">
        <v>3</v>
      </c>
      <c r="H365" s="5" t="s">
        <v>949</v>
      </c>
    </row>
    <row r="366" spans="1:8" x14ac:dyDescent="0.25">
      <c r="A366" s="5" t="s">
        <v>3</v>
      </c>
      <c r="B366" s="5" t="s">
        <v>3</v>
      </c>
      <c r="C366" s="5" t="s">
        <v>950</v>
      </c>
      <c r="D366" s="6">
        <v>307.51</v>
      </c>
      <c r="E366" s="6">
        <v>0</v>
      </c>
      <c r="F366" s="6">
        <f>D366+E366</f>
        <v>307.51</v>
      </c>
      <c r="G366" s="5" t="s">
        <v>3</v>
      </c>
      <c r="H366" s="5" t="s">
        <v>3</v>
      </c>
    </row>
    <row r="367" spans="1:8" x14ac:dyDescent="0.25">
      <c r="A367" s="5" t="s">
        <v>3</v>
      </c>
      <c r="B367" s="5" t="s">
        <v>3</v>
      </c>
      <c r="C367" s="5" t="s">
        <v>951</v>
      </c>
      <c r="D367" s="6">
        <v>298.61</v>
      </c>
      <c r="E367" s="6">
        <v>0</v>
      </c>
      <c r="F367" s="6">
        <f>D367+E367</f>
        <v>298.61</v>
      </c>
      <c r="G367" s="5" t="s">
        <v>3</v>
      </c>
      <c r="H367" s="5" t="s">
        <v>952</v>
      </c>
    </row>
    <row r="368" spans="1:8" x14ac:dyDescent="0.25">
      <c r="A368" s="5" t="s">
        <v>3</v>
      </c>
      <c r="B368" s="5" t="s">
        <v>3</v>
      </c>
      <c r="C368" s="5" t="s">
        <v>953</v>
      </c>
      <c r="D368" s="6">
        <v>286.6</v>
      </c>
      <c r="E368" s="6">
        <v>0</v>
      </c>
      <c r="F368" s="6">
        <f>D368+E368</f>
        <v>286.6</v>
      </c>
      <c r="G368" s="5" t="s">
        <v>3</v>
      </c>
      <c r="H368" s="5" t="s">
        <v>902</v>
      </c>
    </row>
    <row r="369" spans="1:8" x14ac:dyDescent="0.25">
      <c r="A369" s="5" t="s">
        <v>3</v>
      </c>
      <c r="B369" s="5" t="s">
        <v>3</v>
      </c>
      <c r="C369" s="5" t="s">
        <v>954</v>
      </c>
      <c r="D369" s="6">
        <v>275</v>
      </c>
      <c r="E369" s="6">
        <v>0</v>
      </c>
      <c r="F369" s="6">
        <f>D369+E369</f>
        <v>275</v>
      </c>
      <c r="G369" s="5" t="s">
        <v>3</v>
      </c>
      <c r="H369" s="5" t="s">
        <v>955</v>
      </c>
    </row>
    <row r="370" spans="1:8" x14ac:dyDescent="0.25">
      <c r="A370" s="5" t="s">
        <v>3</v>
      </c>
      <c r="B370" s="5" t="s">
        <v>3</v>
      </c>
      <c r="C370" s="5" t="s">
        <v>956</v>
      </c>
      <c r="D370" s="6">
        <v>268.7</v>
      </c>
      <c r="E370" s="6">
        <v>0</v>
      </c>
      <c r="F370" s="6">
        <f>D370+E370</f>
        <v>268.7</v>
      </c>
      <c r="G370" s="5" t="s">
        <v>3</v>
      </c>
      <c r="H370" s="5" t="s">
        <v>957</v>
      </c>
    </row>
    <row r="371" spans="1:8" x14ac:dyDescent="0.25">
      <c r="A371" s="5" t="s">
        <v>3</v>
      </c>
      <c r="B371" s="5" t="s">
        <v>3</v>
      </c>
      <c r="C371" s="5" t="s">
        <v>958</v>
      </c>
      <c r="D371" s="6">
        <v>265</v>
      </c>
      <c r="E371" s="6">
        <v>0</v>
      </c>
      <c r="F371" s="6">
        <f>D371+E371</f>
        <v>265</v>
      </c>
      <c r="G371" s="5" t="s">
        <v>3</v>
      </c>
      <c r="H371" s="5" t="s">
        <v>959</v>
      </c>
    </row>
    <row r="372" spans="1:8" x14ac:dyDescent="0.25">
      <c r="A372" s="5" t="s">
        <v>3</v>
      </c>
      <c r="B372" s="5" t="s">
        <v>3</v>
      </c>
      <c r="C372" s="5" t="s">
        <v>960</v>
      </c>
      <c r="D372" s="6">
        <v>265</v>
      </c>
      <c r="E372" s="6">
        <v>0</v>
      </c>
      <c r="F372" s="6">
        <f>D372+E372</f>
        <v>265</v>
      </c>
      <c r="G372" s="5" t="s">
        <v>3</v>
      </c>
      <c r="H372" s="5" t="s">
        <v>3</v>
      </c>
    </row>
    <row r="373" spans="1:8" x14ac:dyDescent="0.25">
      <c r="A373" s="5" t="s">
        <v>3</v>
      </c>
      <c r="B373" s="5" t="s">
        <v>3</v>
      </c>
      <c r="C373" s="5" t="s">
        <v>961</v>
      </c>
      <c r="D373" s="6">
        <v>238.28</v>
      </c>
      <c r="E373" s="6">
        <v>0</v>
      </c>
      <c r="F373" s="6">
        <f>D373+E373</f>
        <v>238.28</v>
      </c>
      <c r="G373" s="5" t="s">
        <v>3</v>
      </c>
      <c r="H373" s="5" t="s">
        <v>607</v>
      </c>
    </row>
    <row r="374" spans="1:8" x14ac:dyDescent="0.25">
      <c r="A374" s="5" t="s">
        <v>3</v>
      </c>
      <c r="B374" s="5" t="s">
        <v>3</v>
      </c>
      <c r="C374" s="5" t="s">
        <v>962</v>
      </c>
      <c r="D374" s="6">
        <v>237</v>
      </c>
      <c r="E374" s="6">
        <v>0</v>
      </c>
      <c r="F374" s="6">
        <f>D374+E374</f>
        <v>237</v>
      </c>
      <c r="G374" s="5" t="s">
        <v>3</v>
      </c>
      <c r="H374" s="5" t="s">
        <v>963</v>
      </c>
    </row>
    <row r="375" spans="1:8" x14ac:dyDescent="0.25">
      <c r="A375" s="5" t="s">
        <v>3</v>
      </c>
      <c r="B375" s="5" t="s">
        <v>3</v>
      </c>
      <c r="C375" s="5" t="s">
        <v>964</v>
      </c>
      <c r="D375" s="6">
        <v>232.39</v>
      </c>
      <c r="E375" s="6">
        <v>0</v>
      </c>
      <c r="F375" s="6">
        <f>D375+E375</f>
        <v>232.39</v>
      </c>
      <c r="G375" s="5" t="s">
        <v>3</v>
      </c>
      <c r="H375" s="5" t="s">
        <v>965</v>
      </c>
    </row>
    <row r="376" spans="1:8" x14ac:dyDescent="0.25">
      <c r="A376" s="5" t="s">
        <v>3</v>
      </c>
      <c r="B376" s="5" t="s">
        <v>3</v>
      </c>
      <c r="C376" s="5" t="s">
        <v>966</v>
      </c>
      <c r="D376" s="6">
        <v>220.87</v>
      </c>
      <c r="E376" s="6">
        <v>0</v>
      </c>
      <c r="F376" s="6">
        <f>D376+E376</f>
        <v>220.87</v>
      </c>
      <c r="G376" s="5" t="s">
        <v>3</v>
      </c>
      <c r="H376" s="5" t="s">
        <v>967</v>
      </c>
    </row>
    <row r="377" spans="1:8" x14ac:dyDescent="0.25">
      <c r="A377" s="5" t="s">
        <v>3</v>
      </c>
      <c r="B377" s="5" t="s">
        <v>3</v>
      </c>
      <c r="C377" s="5" t="s">
        <v>968</v>
      </c>
      <c r="D377" s="6">
        <v>200</v>
      </c>
      <c r="E377" s="6">
        <v>0</v>
      </c>
      <c r="F377" s="6">
        <f>D377+E377</f>
        <v>200</v>
      </c>
      <c r="G377" s="5" t="s">
        <v>3</v>
      </c>
      <c r="H377" s="5" t="s">
        <v>969</v>
      </c>
    </row>
    <row r="378" spans="1:8" x14ac:dyDescent="0.25">
      <c r="A378" s="5" t="s">
        <v>3</v>
      </c>
      <c r="B378" s="5" t="s">
        <v>3</v>
      </c>
      <c r="C378" s="5" t="s">
        <v>970</v>
      </c>
      <c r="D378" s="6">
        <v>185.32</v>
      </c>
      <c r="E378" s="6">
        <v>0</v>
      </c>
      <c r="F378" s="6">
        <f>D378+E378</f>
        <v>185.32</v>
      </c>
      <c r="G378" s="5" t="s">
        <v>3</v>
      </c>
      <c r="H378" s="5" t="s">
        <v>971</v>
      </c>
    </row>
    <row r="379" spans="1:8" x14ac:dyDescent="0.25">
      <c r="A379" s="5" t="s">
        <v>3</v>
      </c>
      <c r="B379" s="5" t="s">
        <v>3</v>
      </c>
      <c r="C379" s="5" t="s">
        <v>972</v>
      </c>
      <c r="D379" s="6">
        <v>179.69</v>
      </c>
      <c r="E379" s="6">
        <v>0</v>
      </c>
      <c r="F379" s="6">
        <f>D379+E379</f>
        <v>179.69</v>
      </c>
      <c r="G379" s="5" t="s">
        <v>3</v>
      </c>
      <c r="H379" s="5" t="s">
        <v>973</v>
      </c>
    </row>
    <row r="380" spans="1:8" x14ac:dyDescent="0.25">
      <c r="A380" s="5" t="s">
        <v>3</v>
      </c>
      <c r="B380" s="5" t="s">
        <v>3</v>
      </c>
      <c r="C380" s="5" t="s">
        <v>974</v>
      </c>
      <c r="D380" s="6">
        <v>176.75</v>
      </c>
      <c r="E380" s="6">
        <v>0</v>
      </c>
      <c r="F380" s="6">
        <f>D380+E380</f>
        <v>176.75</v>
      </c>
      <c r="G380" s="5" t="s">
        <v>3</v>
      </c>
      <c r="H380" s="5" t="s">
        <v>975</v>
      </c>
    </row>
    <row r="381" spans="1:8" x14ac:dyDescent="0.25">
      <c r="A381" s="5" t="s">
        <v>3</v>
      </c>
      <c r="B381" s="5" t="s">
        <v>3</v>
      </c>
      <c r="C381" s="5" t="s">
        <v>976</v>
      </c>
      <c r="D381" s="6">
        <v>162.67</v>
      </c>
      <c r="E381" s="6">
        <v>0</v>
      </c>
      <c r="F381" s="6">
        <f>D381+E381</f>
        <v>162.67</v>
      </c>
      <c r="G381" s="5" t="s">
        <v>3</v>
      </c>
      <c r="H381" s="5" t="s">
        <v>977</v>
      </c>
    </row>
    <row r="382" spans="1:8" x14ac:dyDescent="0.25">
      <c r="A382" s="5" t="s">
        <v>3</v>
      </c>
      <c r="B382" s="5" t="s">
        <v>3</v>
      </c>
      <c r="C382" s="5" t="s">
        <v>978</v>
      </c>
      <c r="D382" s="6">
        <v>155.36</v>
      </c>
      <c r="E382" s="6">
        <v>0</v>
      </c>
      <c r="F382" s="6">
        <f>D382+E382</f>
        <v>155.36</v>
      </c>
      <c r="G382" s="5" t="s">
        <v>3</v>
      </c>
      <c r="H382" s="5" t="s">
        <v>979</v>
      </c>
    </row>
    <row r="383" spans="1:8" x14ac:dyDescent="0.25">
      <c r="A383" s="5" t="s">
        <v>3</v>
      </c>
      <c r="B383" s="5" t="s">
        <v>3</v>
      </c>
      <c r="C383" s="5" t="s">
        <v>565</v>
      </c>
      <c r="D383" s="6">
        <v>155.16</v>
      </c>
      <c r="E383" s="6">
        <v>0</v>
      </c>
      <c r="F383" s="6">
        <f>D383+E383</f>
        <v>155.16</v>
      </c>
      <c r="G383" s="5" t="s">
        <v>3</v>
      </c>
      <c r="H383" s="5" t="s">
        <v>979</v>
      </c>
    </row>
    <row r="384" spans="1:8" x14ac:dyDescent="0.25">
      <c r="A384" s="5" t="s">
        <v>3</v>
      </c>
      <c r="B384" s="5" t="s">
        <v>3</v>
      </c>
      <c r="C384" s="5" t="s">
        <v>980</v>
      </c>
      <c r="D384" s="6">
        <v>150</v>
      </c>
      <c r="E384" s="6">
        <v>0</v>
      </c>
      <c r="F384" s="6">
        <f>D384+E384</f>
        <v>150</v>
      </c>
      <c r="G384" s="5" t="s">
        <v>3</v>
      </c>
      <c r="H384" s="5" t="s">
        <v>981</v>
      </c>
    </row>
    <row r="385" spans="1:8" x14ac:dyDescent="0.25">
      <c r="A385" s="5" t="s">
        <v>3</v>
      </c>
      <c r="B385" s="5" t="s">
        <v>3</v>
      </c>
      <c r="C385" s="5" t="s">
        <v>605</v>
      </c>
      <c r="D385" s="6">
        <v>131.03</v>
      </c>
      <c r="E385" s="6">
        <v>0</v>
      </c>
      <c r="F385" s="6">
        <f>D385+E385</f>
        <v>131.03</v>
      </c>
      <c r="G385" s="5" t="s">
        <v>3</v>
      </c>
      <c r="H385" s="5" t="s">
        <v>982</v>
      </c>
    </row>
    <row r="386" spans="1:8" x14ac:dyDescent="0.25">
      <c r="A386" s="5" t="s">
        <v>3</v>
      </c>
      <c r="B386" s="5" t="s">
        <v>3</v>
      </c>
      <c r="C386" s="5" t="s">
        <v>983</v>
      </c>
      <c r="D386" s="6">
        <v>114.73</v>
      </c>
      <c r="E386" s="6">
        <v>0</v>
      </c>
      <c r="F386" s="6">
        <f>D386+E386</f>
        <v>114.73</v>
      </c>
      <c r="G386" s="5" t="s">
        <v>3</v>
      </c>
      <c r="H386" s="5" t="s">
        <v>984</v>
      </c>
    </row>
    <row r="387" spans="1:8" x14ac:dyDescent="0.25">
      <c r="A387" s="5" t="s">
        <v>3</v>
      </c>
      <c r="B387" s="5" t="s">
        <v>3</v>
      </c>
      <c r="C387" s="5" t="s">
        <v>985</v>
      </c>
      <c r="D387" s="6">
        <v>100</v>
      </c>
      <c r="E387" s="6">
        <v>0</v>
      </c>
      <c r="F387" s="6">
        <f>D387+E387</f>
        <v>100</v>
      </c>
      <c r="G387" s="5" t="s">
        <v>3</v>
      </c>
      <c r="H387" s="5" t="s">
        <v>851</v>
      </c>
    </row>
    <row r="388" spans="1:8" x14ac:dyDescent="0.25">
      <c r="A388" s="5" t="s">
        <v>3</v>
      </c>
      <c r="B388" s="5" t="s">
        <v>3</v>
      </c>
      <c r="C388" s="5" t="s">
        <v>848</v>
      </c>
      <c r="D388" s="6">
        <v>100</v>
      </c>
      <c r="E388" s="6">
        <v>0</v>
      </c>
      <c r="F388" s="6">
        <f>D388+E388</f>
        <v>100</v>
      </c>
      <c r="G388" s="5" t="s">
        <v>3</v>
      </c>
      <c r="H388" s="5" t="s">
        <v>851</v>
      </c>
    </row>
    <row r="389" spans="1:8" x14ac:dyDescent="0.25">
      <c r="A389" s="5" t="s">
        <v>3</v>
      </c>
      <c r="B389" s="5" t="s">
        <v>3</v>
      </c>
      <c r="C389" s="5" t="s">
        <v>986</v>
      </c>
      <c r="D389" s="6">
        <v>98.55</v>
      </c>
      <c r="E389" s="6">
        <v>0</v>
      </c>
      <c r="F389" s="6">
        <f>D389+E389</f>
        <v>98.55</v>
      </c>
      <c r="G389" s="5" t="s">
        <v>3</v>
      </c>
      <c r="H389" s="5" t="s">
        <v>987</v>
      </c>
    </row>
    <row r="390" spans="1:8" x14ac:dyDescent="0.25">
      <c r="A390" s="5" t="s">
        <v>3</v>
      </c>
      <c r="B390" s="5" t="s">
        <v>3</v>
      </c>
      <c r="C390" s="5" t="s">
        <v>988</v>
      </c>
      <c r="D390" s="6">
        <v>93.81</v>
      </c>
      <c r="E390" s="6">
        <v>0</v>
      </c>
      <c r="F390" s="6">
        <f>D390+E390</f>
        <v>93.81</v>
      </c>
      <c r="G390" s="5" t="s">
        <v>3</v>
      </c>
      <c r="H390" s="5" t="s">
        <v>989</v>
      </c>
    </row>
    <row r="391" spans="1:8" x14ac:dyDescent="0.25">
      <c r="A391" s="5" t="s">
        <v>3</v>
      </c>
      <c r="B391" s="5" t="s">
        <v>3</v>
      </c>
      <c r="C391" s="5" t="s">
        <v>990</v>
      </c>
      <c r="D391" s="6">
        <v>89</v>
      </c>
      <c r="E391" s="6">
        <v>0</v>
      </c>
      <c r="F391" s="6">
        <f>D391+E391</f>
        <v>89</v>
      </c>
      <c r="G391" s="5" t="s">
        <v>3</v>
      </c>
      <c r="H391" s="5" t="s">
        <v>991</v>
      </c>
    </row>
    <row r="392" spans="1:8" x14ac:dyDescent="0.25">
      <c r="A392" s="5" t="s">
        <v>3</v>
      </c>
      <c r="B392" s="5" t="s">
        <v>3</v>
      </c>
      <c r="C392" s="5" t="s">
        <v>992</v>
      </c>
      <c r="D392" s="6">
        <v>88.3</v>
      </c>
      <c r="E392" s="6">
        <v>0</v>
      </c>
      <c r="F392" s="6">
        <f>D392+E392</f>
        <v>88.3</v>
      </c>
      <c r="G392" s="5" t="s">
        <v>3</v>
      </c>
      <c r="H392" s="5" t="s">
        <v>993</v>
      </c>
    </row>
    <row r="393" spans="1:8" x14ac:dyDescent="0.25">
      <c r="A393" s="5" t="s">
        <v>3</v>
      </c>
      <c r="B393" s="5" t="s">
        <v>3</v>
      </c>
      <c r="C393" s="5" t="s">
        <v>994</v>
      </c>
      <c r="D393" s="6">
        <v>88.3</v>
      </c>
      <c r="E393" s="6">
        <v>0</v>
      </c>
      <c r="F393" s="6">
        <f>D393+E393</f>
        <v>88.3</v>
      </c>
      <c r="G393" s="5" t="s">
        <v>3</v>
      </c>
      <c r="H393" s="5" t="s">
        <v>993</v>
      </c>
    </row>
    <row r="394" spans="1:8" x14ac:dyDescent="0.25">
      <c r="A394" s="5" t="s">
        <v>3</v>
      </c>
      <c r="B394" s="5" t="s">
        <v>3</v>
      </c>
      <c r="C394" s="5" t="s">
        <v>995</v>
      </c>
      <c r="D394" s="6">
        <v>84</v>
      </c>
      <c r="E394" s="6">
        <v>0</v>
      </c>
      <c r="F394" s="6">
        <f>D394+E394</f>
        <v>84</v>
      </c>
      <c r="G394" s="5" t="s">
        <v>3</v>
      </c>
      <c r="H394" s="5" t="s">
        <v>996</v>
      </c>
    </row>
    <row r="395" spans="1:8" x14ac:dyDescent="0.25">
      <c r="A395" s="5" t="s">
        <v>3</v>
      </c>
      <c r="B395" s="5" t="s">
        <v>3</v>
      </c>
      <c r="C395" s="5" t="s">
        <v>997</v>
      </c>
      <c r="D395" s="6">
        <v>75.86</v>
      </c>
      <c r="E395" s="6">
        <v>0</v>
      </c>
      <c r="F395" s="6">
        <f>D395+E395</f>
        <v>75.86</v>
      </c>
      <c r="G395" s="5" t="s">
        <v>3</v>
      </c>
      <c r="H395" s="5" t="s">
        <v>998</v>
      </c>
    </row>
    <row r="396" spans="1:8" x14ac:dyDescent="0.25">
      <c r="A396" s="5" t="s">
        <v>3</v>
      </c>
      <c r="B396" s="5" t="s">
        <v>3</v>
      </c>
      <c r="C396" s="5" t="s">
        <v>999</v>
      </c>
      <c r="D396" s="6">
        <v>72.96</v>
      </c>
      <c r="E396" s="6">
        <v>0</v>
      </c>
      <c r="F396" s="6">
        <f>D396+E396</f>
        <v>72.96</v>
      </c>
      <c r="G396" s="5" t="s">
        <v>3</v>
      </c>
      <c r="H396" s="5" t="s">
        <v>1000</v>
      </c>
    </row>
    <row r="397" spans="1:8" x14ac:dyDescent="0.25">
      <c r="A397" s="5" t="s">
        <v>3</v>
      </c>
      <c r="B397" s="5" t="s">
        <v>3</v>
      </c>
      <c r="C397" s="5" t="s">
        <v>1001</v>
      </c>
      <c r="D397" s="6">
        <v>70</v>
      </c>
      <c r="E397" s="6">
        <v>0</v>
      </c>
      <c r="F397" s="6">
        <f>D397+E397</f>
        <v>70</v>
      </c>
      <c r="G397" s="5" t="s">
        <v>3</v>
      </c>
      <c r="H397" s="5" t="s">
        <v>1002</v>
      </c>
    </row>
    <row r="398" spans="1:8" x14ac:dyDescent="0.25">
      <c r="A398" s="5" t="s">
        <v>3</v>
      </c>
      <c r="B398" s="5" t="s">
        <v>3</v>
      </c>
      <c r="C398" s="5" t="s">
        <v>1003</v>
      </c>
      <c r="D398" s="6">
        <v>64.76</v>
      </c>
      <c r="E398" s="6">
        <v>0</v>
      </c>
      <c r="F398" s="6">
        <f>D398+E398</f>
        <v>64.76</v>
      </c>
      <c r="G398" s="5" t="s">
        <v>3</v>
      </c>
      <c r="H398" s="5" t="s">
        <v>1004</v>
      </c>
    </row>
    <row r="399" spans="1:8" x14ac:dyDescent="0.25">
      <c r="A399" s="5" t="s">
        <v>3</v>
      </c>
      <c r="B399" s="5" t="s">
        <v>3</v>
      </c>
      <c r="C399" s="5" t="s">
        <v>1005</v>
      </c>
      <c r="D399" s="6">
        <v>62.36</v>
      </c>
      <c r="E399" s="6">
        <v>0</v>
      </c>
      <c r="F399" s="6">
        <f>D399+E399</f>
        <v>62.36</v>
      </c>
      <c r="G399" s="5" t="s">
        <v>3</v>
      </c>
      <c r="H399" s="5" t="s">
        <v>3</v>
      </c>
    </row>
    <row r="400" spans="1:8" x14ac:dyDescent="0.25">
      <c r="A400" s="5" t="s">
        <v>3</v>
      </c>
      <c r="B400" s="5" t="s">
        <v>3</v>
      </c>
      <c r="C400" s="5" t="s">
        <v>1006</v>
      </c>
      <c r="D400" s="6">
        <v>60</v>
      </c>
      <c r="E400" s="6">
        <v>0</v>
      </c>
      <c r="F400" s="6">
        <f>D400+E400</f>
        <v>60</v>
      </c>
      <c r="G400" s="5" t="s">
        <v>3</v>
      </c>
      <c r="H400" s="5" t="s">
        <v>1007</v>
      </c>
    </row>
    <row r="401" spans="1:8" x14ac:dyDescent="0.25">
      <c r="A401" s="5" t="s">
        <v>3</v>
      </c>
      <c r="B401" s="5" t="s">
        <v>3</v>
      </c>
      <c r="C401" s="5" t="s">
        <v>1008</v>
      </c>
      <c r="D401" s="6">
        <v>59.9</v>
      </c>
      <c r="E401" s="6">
        <v>0</v>
      </c>
      <c r="F401" s="6">
        <f>D401+E401</f>
        <v>59.9</v>
      </c>
      <c r="G401" s="5" t="s">
        <v>3</v>
      </c>
      <c r="H401" s="5" t="s">
        <v>1007</v>
      </c>
    </row>
    <row r="402" spans="1:8" x14ac:dyDescent="0.25">
      <c r="A402" s="5" t="s">
        <v>3</v>
      </c>
      <c r="B402" s="5" t="s">
        <v>3</v>
      </c>
      <c r="C402" s="5" t="s">
        <v>1009</v>
      </c>
      <c r="D402" s="6">
        <v>53.97</v>
      </c>
      <c r="E402" s="6">
        <v>0</v>
      </c>
      <c r="F402" s="6">
        <f>D402+E402</f>
        <v>53.97</v>
      </c>
      <c r="G402" s="5" t="s">
        <v>3</v>
      </c>
      <c r="H402" s="5" t="s">
        <v>1010</v>
      </c>
    </row>
    <row r="403" spans="1:8" x14ac:dyDescent="0.25">
      <c r="A403" s="5" t="s">
        <v>3</v>
      </c>
      <c r="B403" s="5" t="s">
        <v>3</v>
      </c>
      <c r="C403" s="5" t="s">
        <v>849</v>
      </c>
      <c r="D403" s="6">
        <v>50</v>
      </c>
      <c r="E403" s="6">
        <v>0</v>
      </c>
      <c r="F403" s="6">
        <f>D403+E403</f>
        <v>50</v>
      </c>
      <c r="G403" s="5" t="s">
        <v>3</v>
      </c>
      <c r="H403" s="5" t="s">
        <v>851</v>
      </c>
    </row>
    <row r="404" spans="1:8" x14ac:dyDescent="0.25">
      <c r="A404" s="5" t="s">
        <v>3</v>
      </c>
      <c r="B404" s="5" t="s">
        <v>3</v>
      </c>
      <c r="C404" s="5" t="s">
        <v>1011</v>
      </c>
      <c r="D404" s="6">
        <v>44.9</v>
      </c>
      <c r="E404" s="6">
        <v>0</v>
      </c>
      <c r="F404" s="6">
        <f>D404+E404</f>
        <v>44.9</v>
      </c>
      <c r="G404" s="5" t="s">
        <v>3</v>
      </c>
      <c r="H404" s="5" t="s">
        <v>1012</v>
      </c>
    </row>
    <row r="405" spans="1:8" x14ac:dyDescent="0.25">
      <c r="A405" s="5" t="s">
        <v>3</v>
      </c>
      <c r="B405" s="5" t="s">
        <v>3</v>
      </c>
      <c r="C405" s="5" t="s">
        <v>1013</v>
      </c>
      <c r="D405" s="6">
        <v>38.62</v>
      </c>
      <c r="E405" s="6">
        <v>0</v>
      </c>
      <c r="F405" s="6">
        <f>D405+E405</f>
        <v>38.62</v>
      </c>
      <c r="G405" s="5" t="s">
        <v>3</v>
      </c>
      <c r="H405" s="5" t="s">
        <v>1014</v>
      </c>
    </row>
    <row r="406" spans="1:8" x14ac:dyDescent="0.25">
      <c r="A406" s="5" t="s">
        <v>3</v>
      </c>
      <c r="B406" s="5" t="s">
        <v>3</v>
      </c>
      <c r="C406" s="5" t="s">
        <v>1015</v>
      </c>
      <c r="D406" s="6">
        <v>35.82</v>
      </c>
      <c r="E406" s="6">
        <v>0</v>
      </c>
      <c r="F406" s="6">
        <f>D406+E406</f>
        <v>35.82</v>
      </c>
      <c r="G406" s="5" t="s">
        <v>3</v>
      </c>
      <c r="H406" s="5" t="s">
        <v>1016</v>
      </c>
    </row>
    <row r="407" spans="1:8" x14ac:dyDescent="0.25">
      <c r="A407" s="5" t="s">
        <v>3</v>
      </c>
      <c r="B407" s="5" t="s">
        <v>3</v>
      </c>
      <c r="C407" s="5" t="s">
        <v>1017</v>
      </c>
      <c r="D407" s="6">
        <v>28</v>
      </c>
      <c r="E407" s="6">
        <v>0</v>
      </c>
      <c r="F407" s="6">
        <f>D407+E407</f>
        <v>28</v>
      </c>
      <c r="G407" s="5" t="s">
        <v>3</v>
      </c>
      <c r="H407" s="5" t="s">
        <v>1018</v>
      </c>
    </row>
    <row r="408" spans="1:8" x14ac:dyDescent="0.25">
      <c r="A408" s="5" t="s">
        <v>3</v>
      </c>
      <c r="B408" s="5" t="s">
        <v>3</v>
      </c>
      <c r="C408" s="5" t="s">
        <v>1019</v>
      </c>
      <c r="D408" s="6">
        <v>19.9</v>
      </c>
      <c r="E408" s="6">
        <v>0</v>
      </c>
      <c r="F408" s="6">
        <f>D408+E408</f>
        <v>19.9</v>
      </c>
      <c r="G408" s="5" t="s">
        <v>3</v>
      </c>
      <c r="H408" s="5" t="s">
        <v>1020</v>
      </c>
    </row>
    <row r="410" spans="1:8" x14ac:dyDescent="0.25">
      <c r="A410" s="13" t="s">
        <v>3</v>
      </c>
      <c r="B410" s="13" t="s">
        <v>3</v>
      </c>
      <c r="C410" s="13" t="s">
        <v>484</v>
      </c>
      <c r="D410" s="14">
        <f>D5+D34+D36+D41+D60</f>
        <v>801849.28</v>
      </c>
      <c r="E410" s="14">
        <f>E5+E34+E36+E41+E60</f>
        <v>242692.39</v>
      </c>
      <c r="F410" s="14">
        <f>F5+F34+F36+F41+F60</f>
        <v>1044541.67</v>
      </c>
      <c r="G410" s="13" t="s">
        <v>3</v>
      </c>
      <c r="H410" s="13" t="s">
        <v>3</v>
      </c>
    </row>
    <row r="411" spans="1:8" x14ac:dyDescent="0.25">
      <c r="A411" s="13" t="s">
        <v>3</v>
      </c>
      <c r="B411" s="13" t="s">
        <v>3</v>
      </c>
      <c r="C411" s="13" t="s">
        <v>485</v>
      </c>
      <c r="D411" s="14">
        <f>D70+D72+D74+D79+D106+D110+D113+D116+D127+D134+D150+D153+D157+D164+D168+D170+D212+D215+D217+D219+D230+D232+D235+D237+D240+D246+D248+D290+D293+D297+D299+D301+D304+D310+D312</f>
        <v>2305424.91</v>
      </c>
      <c r="E411" s="14">
        <f>E70+E72+E74+E79+E106+E110+E113+E116+E127+E134+E150+E153+E157+E164+E168+E170+E212+E215+E217+E219+E230+E232+E235+E237+E240+E246+E248+E290+E293+E297+E299+E301+E304+E310+E312</f>
        <v>-243782.41</v>
      </c>
      <c r="F411" s="14">
        <f>F70+F72+F74+F79+F106+F110+F113+F116+F127+F134+F150+F153+F157+F164+F168+F170+F212+F215+F217+F219+F230+F232+F235+F237+F240+F246+F248+F290+F293+F297+F299+F301+F304+F310+F312</f>
        <v>2061642.5</v>
      </c>
      <c r="G411" s="13" t="s">
        <v>3</v>
      </c>
      <c r="H411" s="13" t="s">
        <v>3</v>
      </c>
    </row>
    <row r="412" spans="1:8" x14ac:dyDescent="0.25">
      <c r="A412" s="19" t="s">
        <v>3</v>
      </c>
      <c r="B412" s="19" t="s">
        <v>3</v>
      </c>
      <c r="C412" s="19" t="s">
        <v>773</v>
      </c>
      <c r="D412" s="20">
        <f>D410+D411</f>
        <v>3107274.19</v>
      </c>
      <c r="E412" s="20">
        <f>E410+E411</f>
        <v>-1090.02</v>
      </c>
      <c r="F412" s="20">
        <f>F410+F411</f>
        <v>3106184.17</v>
      </c>
      <c r="G412" s="19" t="s">
        <v>3</v>
      </c>
      <c r="H412" s="19" t="s">
        <v>3</v>
      </c>
    </row>
  </sheetData>
  <autoFilter ref="A4:H408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6" customWidth="1"/>
    <col min="4" max="4" width="15" customWidth="1"/>
    <col min="5" max="5" width="14" customWidth="1"/>
    <col min="6" max="6" width="15" customWidth="1"/>
    <col min="7" max="7" width="11" customWidth="1"/>
    <col min="8" max="8" width="70" customWidth="1"/>
  </cols>
  <sheetData>
    <row r="1" ht="26" customHeight="1" spans="1:8" x14ac:dyDescent="0.25">
      <c r="A1" s="1" t="s">
        <v>1021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493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4" t="s">
        <v>360</v>
      </c>
      <c r="B4" s="4" t="s">
        <v>361</v>
      </c>
      <c r="C4" s="4" t="s">
        <v>34</v>
      </c>
      <c r="D4" s="4" t="s">
        <v>494</v>
      </c>
      <c r="E4" s="4" t="s">
        <v>495</v>
      </c>
      <c r="F4" s="4" t="s">
        <v>496</v>
      </c>
      <c r="G4" s="4" t="s">
        <v>497</v>
      </c>
      <c r="H4" s="4" t="s">
        <v>498</v>
      </c>
    </row>
    <row r="5" spans="1:8" x14ac:dyDescent="0.25">
      <c r="A5" s="24" t="s">
        <v>362</v>
      </c>
      <c r="B5" s="24" t="s">
        <v>363</v>
      </c>
      <c r="C5" s="24" t="s">
        <v>499</v>
      </c>
      <c r="D5" s="27">
        <f>SUM(D6:D35)</f>
        <v>380723.21</v>
      </c>
      <c r="E5" s="27">
        <f>SUM(E6:E35)</f>
        <v>99280</v>
      </c>
      <c r="F5" s="27">
        <f>SUM(F6:F35)</f>
        <v>480003.21</v>
      </c>
      <c r="G5" s="24" t="s">
        <v>3</v>
      </c>
      <c r="H5" s="24" t="s">
        <v>3</v>
      </c>
    </row>
    <row r="6" spans="1:8" x14ac:dyDescent="0.25">
      <c r="A6" s="5" t="s">
        <v>3</v>
      </c>
      <c r="B6" s="5" t="s">
        <v>3</v>
      </c>
      <c r="C6" s="5" t="s">
        <v>126</v>
      </c>
      <c r="D6" s="6">
        <v>0</v>
      </c>
      <c r="E6" s="14">
        <v>30000</v>
      </c>
      <c r="F6" s="6">
        <f>D6+E6</f>
        <v>30000</v>
      </c>
      <c r="G6" s="15" t="s">
        <v>196</v>
      </c>
      <c r="H6" s="5" t="s">
        <v>3</v>
      </c>
    </row>
    <row r="7" spans="1:8" x14ac:dyDescent="0.25">
      <c r="A7" s="5" t="s">
        <v>3</v>
      </c>
      <c r="B7" s="5" t="s">
        <v>3</v>
      </c>
      <c r="C7" s="5" t="s">
        <v>128</v>
      </c>
      <c r="D7" s="6">
        <v>0</v>
      </c>
      <c r="E7" s="14">
        <v>26000</v>
      </c>
      <c r="F7" s="6">
        <f>D7+E7</f>
        <v>26000</v>
      </c>
      <c r="G7" s="15" t="s">
        <v>1022</v>
      </c>
      <c r="H7" s="5" t="s">
        <v>3</v>
      </c>
    </row>
    <row r="8" spans="1:8" x14ac:dyDescent="0.25">
      <c r="A8" s="5" t="s">
        <v>3</v>
      </c>
      <c r="B8" s="5" t="s">
        <v>3</v>
      </c>
      <c r="C8" s="5" t="s">
        <v>72</v>
      </c>
      <c r="D8" s="6">
        <v>0</v>
      </c>
      <c r="E8" s="14">
        <v>22000</v>
      </c>
      <c r="F8" s="6">
        <f>D8+E8</f>
        <v>22000</v>
      </c>
      <c r="G8" s="15" t="s">
        <v>1023</v>
      </c>
      <c r="H8" s="5" t="s">
        <v>3</v>
      </c>
    </row>
    <row r="9" spans="1:8" x14ac:dyDescent="0.25">
      <c r="A9" s="5" t="s">
        <v>3</v>
      </c>
      <c r="B9" s="5" t="s">
        <v>3</v>
      </c>
      <c r="C9" s="5" t="s">
        <v>136</v>
      </c>
      <c r="D9" s="6">
        <v>0</v>
      </c>
      <c r="E9" s="14">
        <v>21280</v>
      </c>
      <c r="F9" s="6">
        <f>D9+E9</f>
        <v>21280</v>
      </c>
      <c r="G9" s="15" t="s">
        <v>1024</v>
      </c>
      <c r="H9" s="5" t="s">
        <v>3</v>
      </c>
    </row>
    <row r="10" spans="1:8" x14ac:dyDescent="0.25">
      <c r="A10" s="5" t="s">
        <v>3</v>
      </c>
      <c r="B10" s="5" t="s">
        <v>3</v>
      </c>
      <c r="C10" s="5" t="s">
        <v>503</v>
      </c>
      <c r="D10" s="6">
        <v>50000</v>
      </c>
      <c r="E10" s="6">
        <v>0</v>
      </c>
      <c r="F10" s="6">
        <f>D10+E10</f>
        <v>50000</v>
      </c>
      <c r="G10" s="5" t="s">
        <v>3</v>
      </c>
      <c r="H10" s="5" t="s">
        <v>3</v>
      </c>
    </row>
    <row r="11" spans="1:8" x14ac:dyDescent="0.25">
      <c r="A11" s="5" t="s">
        <v>3</v>
      </c>
      <c r="B11" s="5" t="s">
        <v>3</v>
      </c>
      <c r="C11" s="5" t="s">
        <v>282</v>
      </c>
      <c r="D11" s="6">
        <v>38766.06</v>
      </c>
      <c r="E11" s="6">
        <v>0</v>
      </c>
      <c r="F11" s="6">
        <f>D11+E11</f>
        <v>38766.06</v>
      </c>
      <c r="G11" s="5" t="s">
        <v>3</v>
      </c>
      <c r="H11" s="5" t="s">
        <v>1025</v>
      </c>
    </row>
    <row r="12" spans="1:8" x14ac:dyDescent="0.25">
      <c r="A12" s="5" t="s">
        <v>3</v>
      </c>
      <c r="B12" s="5" t="s">
        <v>3</v>
      </c>
      <c r="C12" s="5" t="s">
        <v>518</v>
      </c>
      <c r="D12" s="6">
        <v>20000</v>
      </c>
      <c r="E12" s="6">
        <v>0</v>
      </c>
      <c r="F12" s="6">
        <f>D12+E12</f>
        <v>20000</v>
      </c>
      <c r="G12" s="5" t="s">
        <v>3</v>
      </c>
      <c r="H12" s="5" t="s">
        <v>3</v>
      </c>
    </row>
    <row r="13" spans="1:8" x14ac:dyDescent="0.25">
      <c r="A13" s="5" t="s">
        <v>3</v>
      </c>
      <c r="B13" s="5" t="s">
        <v>3</v>
      </c>
      <c r="C13" s="5" t="s">
        <v>53</v>
      </c>
      <c r="D13" s="6">
        <v>19000</v>
      </c>
      <c r="E13" s="6">
        <v>0</v>
      </c>
      <c r="F13" s="6">
        <f>D13+E13</f>
        <v>19000</v>
      </c>
      <c r="G13" s="5" t="s">
        <v>3</v>
      </c>
      <c r="H13" s="5" t="s">
        <v>3</v>
      </c>
    </row>
    <row r="14" spans="1:8" x14ac:dyDescent="0.25">
      <c r="A14" s="5" t="s">
        <v>3</v>
      </c>
      <c r="B14" s="5" t="s">
        <v>3</v>
      </c>
      <c r="C14" s="5" t="s">
        <v>506</v>
      </c>
      <c r="D14" s="6">
        <v>18700</v>
      </c>
      <c r="E14" s="6">
        <v>0</v>
      </c>
      <c r="F14" s="6">
        <f>D14+E14</f>
        <v>18700</v>
      </c>
      <c r="G14" s="5" t="s">
        <v>3</v>
      </c>
      <c r="H14" s="5" t="s">
        <v>3</v>
      </c>
    </row>
    <row r="15" spans="1:8" x14ac:dyDescent="0.25">
      <c r="A15" s="5" t="s">
        <v>3</v>
      </c>
      <c r="B15" s="5" t="s">
        <v>3</v>
      </c>
      <c r="C15" s="5" t="s">
        <v>79</v>
      </c>
      <c r="D15" s="6">
        <v>17500</v>
      </c>
      <c r="E15" s="6">
        <v>0</v>
      </c>
      <c r="F15" s="6">
        <f>D15+E15</f>
        <v>17500</v>
      </c>
      <c r="G15" s="5" t="s">
        <v>3</v>
      </c>
      <c r="H15" s="5" t="s">
        <v>3</v>
      </c>
    </row>
    <row r="16" spans="1:8" x14ac:dyDescent="0.25">
      <c r="A16" s="5" t="s">
        <v>3</v>
      </c>
      <c r="B16" s="5" t="s">
        <v>3</v>
      </c>
      <c r="C16" s="5" t="s">
        <v>138</v>
      </c>
      <c r="D16" s="6">
        <v>17500</v>
      </c>
      <c r="E16" s="6">
        <v>0</v>
      </c>
      <c r="F16" s="6">
        <f>D16+E16</f>
        <v>17500</v>
      </c>
      <c r="G16" s="5" t="s">
        <v>3</v>
      </c>
      <c r="H16" s="5" t="s">
        <v>3</v>
      </c>
    </row>
    <row r="17" spans="1:8" x14ac:dyDescent="0.25">
      <c r="A17" s="5" t="s">
        <v>3</v>
      </c>
      <c r="B17" s="5" t="s">
        <v>3</v>
      </c>
      <c r="C17" s="5" t="s">
        <v>510</v>
      </c>
      <c r="D17" s="6">
        <v>16000</v>
      </c>
      <c r="E17" s="6">
        <v>0</v>
      </c>
      <c r="F17" s="6">
        <f>D17+E17</f>
        <v>16000</v>
      </c>
      <c r="G17" s="5" t="s">
        <v>3</v>
      </c>
      <c r="H17" s="5" t="s">
        <v>3</v>
      </c>
    </row>
    <row r="18" spans="1:8" x14ac:dyDescent="0.25">
      <c r="A18" s="5" t="s">
        <v>3</v>
      </c>
      <c r="B18" s="5" t="s">
        <v>3</v>
      </c>
      <c r="C18" s="5" t="s">
        <v>508</v>
      </c>
      <c r="D18" s="6">
        <v>15736.75</v>
      </c>
      <c r="E18" s="6">
        <v>0</v>
      </c>
      <c r="F18" s="6">
        <f>D18+E18</f>
        <v>15736.75</v>
      </c>
      <c r="G18" s="5" t="s">
        <v>3</v>
      </c>
      <c r="H18" s="5" t="s">
        <v>3</v>
      </c>
    </row>
    <row r="19" spans="1:8" x14ac:dyDescent="0.25">
      <c r="A19" s="5" t="s">
        <v>3</v>
      </c>
      <c r="B19" s="5" t="s">
        <v>3</v>
      </c>
      <c r="C19" s="5" t="s">
        <v>516</v>
      </c>
      <c r="D19" s="6">
        <v>14000</v>
      </c>
      <c r="E19" s="6">
        <v>0</v>
      </c>
      <c r="F19" s="6">
        <f>D19+E19</f>
        <v>14000</v>
      </c>
      <c r="G19" s="5" t="s">
        <v>3</v>
      </c>
      <c r="H19" s="5" t="s">
        <v>3</v>
      </c>
    </row>
    <row r="20" spans="1:8" x14ac:dyDescent="0.25">
      <c r="A20" s="5" t="s">
        <v>3</v>
      </c>
      <c r="B20" s="5" t="s">
        <v>3</v>
      </c>
      <c r="C20" s="5" t="s">
        <v>514</v>
      </c>
      <c r="D20" s="6">
        <v>13500</v>
      </c>
      <c r="E20" s="6">
        <v>0</v>
      </c>
      <c r="F20" s="6">
        <f>D20+E20</f>
        <v>13500</v>
      </c>
      <c r="G20" s="5" t="s">
        <v>3</v>
      </c>
      <c r="H20" s="5" t="s">
        <v>3</v>
      </c>
    </row>
    <row r="21" spans="1:8" x14ac:dyDescent="0.25">
      <c r="A21" s="5" t="s">
        <v>3</v>
      </c>
      <c r="B21" s="5" t="s">
        <v>3</v>
      </c>
      <c r="C21" s="5" t="s">
        <v>1026</v>
      </c>
      <c r="D21" s="6">
        <v>13000</v>
      </c>
      <c r="E21" s="6">
        <v>0</v>
      </c>
      <c r="F21" s="6">
        <f>D21+E21</f>
        <v>13000</v>
      </c>
      <c r="G21" s="5" t="s">
        <v>3</v>
      </c>
      <c r="H21" s="5" t="s">
        <v>3</v>
      </c>
    </row>
    <row r="22" spans="1:8" x14ac:dyDescent="0.25">
      <c r="A22" s="5" t="s">
        <v>3</v>
      </c>
      <c r="B22" s="5" t="s">
        <v>3</v>
      </c>
      <c r="C22" s="5" t="s">
        <v>526</v>
      </c>
      <c r="D22" s="6">
        <v>13000</v>
      </c>
      <c r="E22" s="6">
        <v>0</v>
      </c>
      <c r="F22" s="6">
        <f>D22+E22</f>
        <v>13000</v>
      </c>
      <c r="G22" s="5" t="s">
        <v>3</v>
      </c>
      <c r="H22" s="5" t="s">
        <v>3</v>
      </c>
    </row>
    <row r="23" spans="1:8" x14ac:dyDescent="0.25">
      <c r="A23" s="5" t="s">
        <v>3</v>
      </c>
      <c r="B23" s="5" t="s">
        <v>3</v>
      </c>
      <c r="C23" s="5" t="s">
        <v>527</v>
      </c>
      <c r="D23" s="6">
        <v>12500</v>
      </c>
      <c r="E23" s="6">
        <v>0</v>
      </c>
      <c r="F23" s="6">
        <f>D23+E23</f>
        <v>12500</v>
      </c>
      <c r="G23" s="5" t="s">
        <v>3</v>
      </c>
      <c r="H23" s="5" t="s">
        <v>3</v>
      </c>
    </row>
    <row r="24" spans="1:8" x14ac:dyDescent="0.25">
      <c r="A24" s="5" t="s">
        <v>3</v>
      </c>
      <c r="B24" s="5" t="s">
        <v>3</v>
      </c>
      <c r="C24" s="5" t="s">
        <v>512</v>
      </c>
      <c r="D24" s="6">
        <v>12042.03</v>
      </c>
      <c r="E24" s="6">
        <v>0</v>
      </c>
      <c r="F24" s="6">
        <f>D24+E24</f>
        <v>12042.03</v>
      </c>
      <c r="G24" s="5" t="s">
        <v>3</v>
      </c>
      <c r="H24" s="5" t="s">
        <v>3</v>
      </c>
    </row>
    <row r="25" spans="1:8" x14ac:dyDescent="0.25">
      <c r="A25" s="5" t="s">
        <v>3</v>
      </c>
      <c r="B25" s="5" t="s">
        <v>3</v>
      </c>
      <c r="C25" s="5" t="s">
        <v>523</v>
      </c>
      <c r="D25" s="6">
        <v>11000</v>
      </c>
      <c r="E25" s="6">
        <v>0</v>
      </c>
      <c r="F25" s="6">
        <f>D25+E25</f>
        <v>11000</v>
      </c>
      <c r="G25" s="5" t="s">
        <v>3</v>
      </c>
      <c r="H25" s="5" t="s">
        <v>3</v>
      </c>
    </row>
    <row r="26" spans="1:8" x14ac:dyDescent="0.25">
      <c r="A26" s="5" t="s">
        <v>3</v>
      </c>
      <c r="B26" s="5" t="s">
        <v>3</v>
      </c>
      <c r="C26" s="5" t="s">
        <v>528</v>
      </c>
      <c r="D26" s="6">
        <v>10800</v>
      </c>
      <c r="E26" s="6">
        <v>0</v>
      </c>
      <c r="F26" s="6">
        <f>D26+E26</f>
        <v>10800</v>
      </c>
      <c r="G26" s="5" t="s">
        <v>3</v>
      </c>
      <c r="H26" s="5" t="s">
        <v>3</v>
      </c>
    </row>
    <row r="27" spans="1:8" x14ac:dyDescent="0.25">
      <c r="A27" s="5" t="s">
        <v>3</v>
      </c>
      <c r="B27" s="5" t="s">
        <v>3</v>
      </c>
      <c r="C27" s="5" t="s">
        <v>834</v>
      </c>
      <c r="D27" s="6">
        <v>10000</v>
      </c>
      <c r="E27" s="6">
        <v>0</v>
      </c>
      <c r="F27" s="6">
        <f>D27+E27</f>
        <v>10000</v>
      </c>
      <c r="G27" s="5" t="s">
        <v>3</v>
      </c>
      <c r="H27" s="5" t="s">
        <v>3</v>
      </c>
    </row>
    <row r="28" spans="1:8" x14ac:dyDescent="0.25">
      <c r="A28" s="5" t="s">
        <v>3</v>
      </c>
      <c r="B28" s="5" t="s">
        <v>3</v>
      </c>
      <c r="C28" s="5" t="s">
        <v>835</v>
      </c>
      <c r="D28" s="6">
        <v>9000</v>
      </c>
      <c r="E28" s="6">
        <v>0</v>
      </c>
      <c r="F28" s="6">
        <f>D28+E28</f>
        <v>9000</v>
      </c>
      <c r="G28" s="5" t="s">
        <v>3</v>
      </c>
      <c r="H28" s="5" t="s">
        <v>3</v>
      </c>
    </row>
    <row r="29" spans="1:8" x14ac:dyDescent="0.25">
      <c r="A29" s="5" t="s">
        <v>3</v>
      </c>
      <c r="B29" s="5" t="s">
        <v>3</v>
      </c>
      <c r="C29" s="5" t="s">
        <v>534</v>
      </c>
      <c r="D29" s="6">
        <v>9000</v>
      </c>
      <c r="E29" s="6">
        <v>0</v>
      </c>
      <c r="F29" s="6">
        <f>D29+E29</f>
        <v>9000</v>
      </c>
      <c r="G29" s="5" t="s">
        <v>3</v>
      </c>
      <c r="H29" s="5" t="s">
        <v>3</v>
      </c>
    </row>
    <row r="30" spans="1:8" x14ac:dyDescent="0.25">
      <c r="A30" s="5" t="s">
        <v>3</v>
      </c>
      <c r="B30" s="5" t="s">
        <v>3</v>
      </c>
      <c r="C30" s="5" t="s">
        <v>532</v>
      </c>
      <c r="D30" s="6">
        <v>8500</v>
      </c>
      <c r="E30" s="6">
        <v>0</v>
      </c>
      <c r="F30" s="6">
        <f>D30+E30</f>
        <v>8500</v>
      </c>
      <c r="G30" s="5" t="s">
        <v>3</v>
      </c>
      <c r="H30" s="5" t="s">
        <v>3</v>
      </c>
    </row>
    <row r="31" spans="1:8" x14ac:dyDescent="0.25">
      <c r="A31" s="5" t="s">
        <v>3</v>
      </c>
      <c r="B31" s="5" t="s">
        <v>3</v>
      </c>
      <c r="C31" s="5" t="s">
        <v>522</v>
      </c>
      <c r="D31" s="6">
        <v>8064.22</v>
      </c>
      <c r="E31" s="6">
        <v>0</v>
      </c>
      <c r="F31" s="6">
        <f>D31+E31</f>
        <v>8064.22</v>
      </c>
      <c r="G31" s="5" t="s">
        <v>3</v>
      </c>
      <c r="H31" s="5" t="s">
        <v>3</v>
      </c>
    </row>
    <row r="32" spans="1:8" x14ac:dyDescent="0.25">
      <c r="A32" s="5" t="s">
        <v>3</v>
      </c>
      <c r="B32" s="5" t="s">
        <v>3</v>
      </c>
      <c r="C32" s="5" t="s">
        <v>539</v>
      </c>
      <c r="D32" s="6">
        <v>7500</v>
      </c>
      <c r="E32" s="6">
        <v>0</v>
      </c>
      <c r="F32" s="6">
        <f>D32+E32</f>
        <v>7500</v>
      </c>
      <c r="G32" s="5" t="s">
        <v>3</v>
      </c>
      <c r="H32" s="5" t="s">
        <v>3</v>
      </c>
    </row>
    <row r="33" spans="1:8" x14ac:dyDescent="0.25">
      <c r="A33" s="5" t="s">
        <v>3</v>
      </c>
      <c r="B33" s="5" t="s">
        <v>3</v>
      </c>
      <c r="C33" s="5" t="s">
        <v>520</v>
      </c>
      <c r="D33" s="6">
        <v>7200.2</v>
      </c>
      <c r="E33" s="6">
        <v>0</v>
      </c>
      <c r="F33" s="6">
        <f>D33+E33</f>
        <v>7200.2</v>
      </c>
      <c r="G33" s="5" t="s">
        <v>3</v>
      </c>
      <c r="H33" s="5" t="s">
        <v>3</v>
      </c>
    </row>
    <row r="34" spans="1:8" x14ac:dyDescent="0.25">
      <c r="A34" s="5" t="s">
        <v>3</v>
      </c>
      <c r="B34" s="5" t="s">
        <v>3</v>
      </c>
      <c r="C34" s="5" t="s">
        <v>535</v>
      </c>
      <c r="D34" s="6">
        <v>4413.95</v>
      </c>
      <c r="E34" s="6">
        <v>0</v>
      </c>
      <c r="F34" s="6">
        <f>D34+E34</f>
        <v>4413.95</v>
      </c>
      <c r="G34" s="5" t="s">
        <v>3</v>
      </c>
      <c r="H34" s="5" t="s">
        <v>3</v>
      </c>
    </row>
    <row r="35" spans="1:8" x14ac:dyDescent="0.25">
      <c r="A35" s="5" t="s">
        <v>3</v>
      </c>
      <c r="B35" s="5" t="s">
        <v>3</v>
      </c>
      <c r="C35" s="5" t="s">
        <v>537</v>
      </c>
      <c r="D35" s="6">
        <v>4000</v>
      </c>
      <c r="E35" s="6">
        <v>0</v>
      </c>
      <c r="F35" s="6">
        <f>D35+E35</f>
        <v>4000</v>
      </c>
      <c r="G35" s="5" t="s">
        <v>3</v>
      </c>
      <c r="H35" s="5" t="s">
        <v>3</v>
      </c>
    </row>
    <row r="36" spans="1:8" x14ac:dyDescent="0.25">
      <c r="A36" s="24" t="s">
        <v>364</v>
      </c>
      <c r="B36" s="24" t="s">
        <v>365</v>
      </c>
      <c r="C36" s="24" t="s">
        <v>499</v>
      </c>
      <c r="D36" s="27">
        <f>SUM(D37:D37)</f>
        <v>25001.26</v>
      </c>
      <c r="E36" s="27">
        <f>SUM(E37:E37)</f>
        <v>65259.88</v>
      </c>
      <c r="F36" s="27">
        <f>SUM(F37:F37)</f>
        <v>90261.14</v>
      </c>
      <c r="G36" s="24" t="s">
        <v>3</v>
      </c>
      <c r="H36" s="24" t="s">
        <v>3</v>
      </c>
    </row>
    <row r="37" spans="1:8" x14ac:dyDescent="0.25">
      <c r="A37" s="5" t="s">
        <v>3</v>
      </c>
      <c r="B37" s="5" t="s">
        <v>3</v>
      </c>
      <c r="C37" s="5" t="s">
        <v>103</v>
      </c>
      <c r="D37" s="6">
        <v>25001.26</v>
      </c>
      <c r="E37" s="10">
        <v>65259.88</v>
      </c>
      <c r="F37" s="6">
        <f>D37+E37</f>
        <v>90261.14</v>
      </c>
      <c r="G37" s="11" t="s">
        <v>1027</v>
      </c>
      <c r="H37" s="5" t="s">
        <v>3</v>
      </c>
    </row>
    <row r="38" spans="1:8" x14ac:dyDescent="0.25">
      <c r="A38" s="24" t="s">
        <v>366</v>
      </c>
      <c r="B38" s="24" t="s">
        <v>367</v>
      </c>
      <c r="C38" s="24" t="s">
        <v>499</v>
      </c>
      <c r="D38" s="27">
        <f>SUM(D39:D42)</f>
        <v>121274.58</v>
      </c>
      <c r="E38" s="27">
        <f>SUM(E39:E42)</f>
        <v>19109.2</v>
      </c>
      <c r="F38" s="27">
        <f>SUM(F39:F42)</f>
        <v>140383.78</v>
      </c>
      <c r="G38" s="24" t="s">
        <v>3</v>
      </c>
      <c r="H38" s="24" t="s">
        <v>3</v>
      </c>
    </row>
    <row r="39" spans="1:8" x14ac:dyDescent="0.25">
      <c r="A39" s="5" t="s">
        <v>3</v>
      </c>
      <c r="B39" s="5" t="s">
        <v>3</v>
      </c>
      <c r="C39" s="5" t="s">
        <v>81</v>
      </c>
      <c r="D39" s="6">
        <v>88274.24</v>
      </c>
      <c r="E39" s="29">
        <v>19109.2</v>
      </c>
      <c r="F39" s="6">
        <f>D39+E39</f>
        <v>107383.44</v>
      </c>
      <c r="G39" s="23" t="s">
        <v>1028</v>
      </c>
      <c r="H39" s="5" t="s">
        <v>3</v>
      </c>
    </row>
    <row r="40" spans="1:8" x14ac:dyDescent="0.25">
      <c r="A40" s="5" t="s">
        <v>3</v>
      </c>
      <c r="B40" s="5" t="s">
        <v>3</v>
      </c>
      <c r="C40" s="5" t="s">
        <v>302</v>
      </c>
      <c r="D40" s="6">
        <v>26860.75</v>
      </c>
      <c r="E40" s="6">
        <v>0</v>
      </c>
      <c r="F40" s="6">
        <f>D40+E40</f>
        <v>26860.75</v>
      </c>
      <c r="G40" s="5" t="s">
        <v>3</v>
      </c>
      <c r="H40" s="5" t="s">
        <v>3</v>
      </c>
    </row>
    <row r="41" spans="1:8" x14ac:dyDescent="0.25">
      <c r="A41" s="5" t="s">
        <v>3</v>
      </c>
      <c r="B41" s="5" t="s">
        <v>3</v>
      </c>
      <c r="C41" s="5" t="s">
        <v>1029</v>
      </c>
      <c r="D41" s="6">
        <v>4002.91</v>
      </c>
      <c r="E41" s="6">
        <v>0</v>
      </c>
      <c r="F41" s="6">
        <f>D41+E41</f>
        <v>4002.91</v>
      </c>
      <c r="G41" s="5" t="s">
        <v>3</v>
      </c>
      <c r="H41" s="5" t="s">
        <v>3</v>
      </c>
    </row>
    <row r="42" spans="1:8" x14ac:dyDescent="0.25">
      <c r="A42" s="5" t="s">
        <v>3</v>
      </c>
      <c r="B42" s="5" t="s">
        <v>3</v>
      </c>
      <c r="C42" s="5" t="s">
        <v>543</v>
      </c>
      <c r="D42" s="6">
        <v>2136.68</v>
      </c>
      <c r="E42" s="6">
        <v>0</v>
      </c>
      <c r="F42" s="6">
        <f>D42+E42</f>
        <v>2136.68</v>
      </c>
      <c r="G42" s="5" t="s">
        <v>3</v>
      </c>
      <c r="H42" s="5" t="s">
        <v>3</v>
      </c>
    </row>
    <row r="43" spans="1:8" x14ac:dyDescent="0.25">
      <c r="A43" s="24" t="s">
        <v>368</v>
      </c>
      <c r="B43" s="24" t="s">
        <v>369</v>
      </c>
      <c r="C43" s="24" t="s">
        <v>499</v>
      </c>
      <c r="D43" s="27">
        <f>SUM(D44:D61)</f>
        <v>388452.89</v>
      </c>
      <c r="E43" s="27">
        <f>SUM(E44:E61)</f>
        <v>4782.25</v>
      </c>
      <c r="F43" s="27">
        <f>SUM(F44:F61)</f>
        <v>393235.14</v>
      </c>
      <c r="G43" s="24" t="s">
        <v>3</v>
      </c>
      <c r="H43" s="24" t="s">
        <v>3</v>
      </c>
    </row>
    <row r="44" spans="1:8" x14ac:dyDescent="0.25">
      <c r="A44" s="5" t="s">
        <v>3</v>
      </c>
      <c r="B44" s="5" t="s">
        <v>3</v>
      </c>
      <c r="C44" s="5" t="s">
        <v>187</v>
      </c>
      <c r="D44" s="6">
        <v>0</v>
      </c>
      <c r="E44" s="29">
        <v>4782.25</v>
      </c>
      <c r="F44" s="6">
        <f>D44+E44</f>
        <v>4782.25</v>
      </c>
      <c r="G44" s="23" t="s">
        <v>1030</v>
      </c>
      <c r="H44" s="5" t="s">
        <v>3</v>
      </c>
    </row>
    <row r="45" spans="1:8" x14ac:dyDescent="0.25">
      <c r="A45" s="5" t="s">
        <v>3</v>
      </c>
      <c r="B45" s="5" t="s">
        <v>3</v>
      </c>
      <c r="C45" s="5" t="s">
        <v>265</v>
      </c>
      <c r="D45" s="6">
        <v>151942.35</v>
      </c>
      <c r="E45" s="6">
        <v>0</v>
      </c>
      <c r="F45" s="6">
        <f>D45+E45</f>
        <v>151942.35</v>
      </c>
      <c r="G45" s="5" t="s">
        <v>3</v>
      </c>
      <c r="H45" s="5" t="s">
        <v>3</v>
      </c>
    </row>
    <row r="46" spans="1:8" x14ac:dyDescent="0.25">
      <c r="A46" s="5" t="s">
        <v>3</v>
      </c>
      <c r="B46" s="5" t="s">
        <v>3</v>
      </c>
      <c r="C46" s="5" t="s">
        <v>270</v>
      </c>
      <c r="D46" s="6">
        <v>94428</v>
      </c>
      <c r="E46" s="6">
        <v>0</v>
      </c>
      <c r="F46" s="6">
        <f>D46+E46</f>
        <v>94428</v>
      </c>
      <c r="G46" s="5" t="s">
        <v>3</v>
      </c>
      <c r="H46" s="5" t="s">
        <v>3</v>
      </c>
    </row>
    <row r="47" spans="1:8" x14ac:dyDescent="0.25">
      <c r="A47" s="5" t="s">
        <v>3</v>
      </c>
      <c r="B47" s="5" t="s">
        <v>3</v>
      </c>
      <c r="C47" s="5" t="s">
        <v>180</v>
      </c>
      <c r="D47" s="6">
        <v>47580.42</v>
      </c>
      <c r="E47" s="6">
        <v>0</v>
      </c>
      <c r="F47" s="6">
        <f>D47+E47</f>
        <v>47580.42</v>
      </c>
      <c r="G47" s="5" t="s">
        <v>3</v>
      </c>
      <c r="H47" s="5" t="s">
        <v>3</v>
      </c>
    </row>
    <row r="48" spans="1:8" x14ac:dyDescent="0.25">
      <c r="A48" s="5" t="s">
        <v>3</v>
      </c>
      <c r="B48" s="5" t="s">
        <v>3</v>
      </c>
      <c r="C48" s="5" t="s">
        <v>121</v>
      </c>
      <c r="D48" s="6">
        <v>37176.35</v>
      </c>
      <c r="E48" s="6">
        <v>0</v>
      </c>
      <c r="F48" s="6">
        <f>D48+E48</f>
        <v>37176.35</v>
      </c>
      <c r="G48" s="5" t="s">
        <v>3</v>
      </c>
      <c r="H48" s="5" t="s">
        <v>3</v>
      </c>
    </row>
    <row r="49" spans="1:8" x14ac:dyDescent="0.25">
      <c r="A49" s="5" t="s">
        <v>3</v>
      </c>
      <c r="B49" s="5" t="s">
        <v>3</v>
      </c>
      <c r="C49" s="5" t="s">
        <v>559</v>
      </c>
      <c r="D49" s="6">
        <v>24060</v>
      </c>
      <c r="E49" s="6">
        <v>0</v>
      </c>
      <c r="F49" s="6">
        <f>D49+E49</f>
        <v>24060</v>
      </c>
      <c r="G49" s="5" t="s">
        <v>3</v>
      </c>
      <c r="H49" s="5" t="s">
        <v>3</v>
      </c>
    </row>
    <row r="50" spans="1:8" x14ac:dyDescent="0.25">
      <c r="A50" s="5" t="s">
        <v>3</v>
      </c>
      <c r="B50" s="5" t="s">
        <v>3</v>
      </c>
      <c r="C50" s="5" t="s">
        <v>548</v>
      </c>
      <c r="D50" s="6">
        <v>18827</v>
      </c>
      <c r="E50" s="6">
        <v>0</v>
      </c>
      <c r="F50" s="6">
        <f>D50+E50</f>
        <v>18827</v>
      </c>
      <c r="G50" s="5" t="s">
        <v>3</v>
      </c>
      <c r="H50" s="5" t="s">
        <v>3</v>
      </c>
    </row>
    <row r="51" spans="1:8" x14ac:dyDescent="0.25">
      <c r="A51" s="5" t="s">
        <v>3</v>
      </c>
      <c r="B51" s="5" t="s">
        <v>3</v>
      </c>
      <c r="C51" s="5" t="s">
        <v>550</v>
      </c>
      <c r="D51" s="6">
        <v>10000</v>
      </c>
      <c r="E51" s="6">
        <v>0</v>
      </c>
      <c r="F51" s="6">
        <f>D51+E51</f>
        <v>10000</v>
      </c>
      <c r="G51" s="5" t="s">
        <v>3</v>
      </c>
      <c r="H51" s="5" t="s">
        <v>3</v>
      </c>
    </row>
    <row r="52" spans="1:8" x14ac:dyDescent="0.25">
      <c r="A52" s="5" t="s">
        <v>3</v>
      </c>
      <c r="B52" s="5" t="s">
        <v>3</v>
      </c>
      <c r="C52" s="5" t="s">
        <v>552</v>
      </c>
      <c r="D52" s="6">
        <v>3000</v>
      </c>
      <c r="E52" s="6">
        <v>0</v>
      </c>
      <c r="F52" s="6">
        <f>D52+E52</f>
        <v>3000</v>
      </c>
      <c r="G52" s="5" t="s">
        <v>3</v>
      </c>
      <c r="H52" s="5" t="s">
        <v>3</v>
      </c>
    </row>
    <row r="53" spans="1:8" x14ac:dyDescent="0.25">
      <c r="A53" s="5" t="s">
        <v>3</v>
      </c>
      <c r="B53" s="5" t="s">
        <v>3</v>
      </c>
      <c r="C53" s="5" t="s">
        <v>1031</v>
      </c>
      <c r="D53" s="6">
        <v>578.07</v>
      </c>
      <c r="E53" s="6">
        <v>0</v>
      </c>
      <c r="F53" s="6">
        <f>D53+E53</f>
        <v>578.07</v>
      </c>
      <c r="G53" s="5" t="s">
        <v>3</v>
      </c>
      <c r="H53" s="5" t="s">
        <v>3</v>
      </c>
    </row>
    <row r="54" spans="1:8" x14ac:dyDescent="0.25">
      <c r="A54" s="5" t="s">
        <v>3</v>
      </c>
      <c r="B54" s="5" t="s">
        <v>3</v>
      </c>
      <c r="C54" s="5" t="s">
        <v>797</v>
      </c>
      <c r="D54" s="6">
        <v>154.85</v>
      </c>
      <c r="E54" s="6">
        <v>0</v>
      </c>
      <c r="F54" s="6">
        <f>D54+E54</f>
        <v>154.85</v>
      </c>
      <c r="G54" s="5" t="s">
        <v>3</v>
      </c>
      <c r="H54" s="5" t="s">
        <v>3</v>
      </c>
    </row>
    <row r="55" spans="1:8" x14ac:dyDescent="0.25">
      <c r="A55" s="5" t="s">
        <v>3</v>
      </c>
      <c r="B55" s="5" t="s">
        <v>3</v>
      </c>
      <c r="C55" s="5" t="s">
        <v>799</v>
      </c>
      <c r="D55" s="6">
        <v>139.99</v>
      </c>
      <c r="E55" s="6">
        <v>0</v>
      </c>
      <c r="F55" s="6">
        <f>D55+E55</f>
        <v>139.99</v>
      </c>
      <c r="G55" s="5" t="s">
        <v>3</v>
      </c>
      <c r="H55" s="5" t="s">
        <v>3</v>
      </c>
    </row>
    <row r="56" spans="1:8" x14ac:dyDescent="0.25">
      <c r="A56" s="5" t="s">
        <v>3</v>
      </c>
      <c r="B56" s="5" t="s">
        <v>3</v>
      </c>
      <c r="C56" s="5" t="s">
        <v>563</v>
      </c>
      <c r="D56" s="6">
        <v>134.55</v>
      </c>
      <c r="E56" s="6">
        <v>0</v>
      </c>
      <c r="F56" s="6">
        <f>D56+E56</f>
        <v>134.55</v>
      </c>
      <c r="G56" s="5" t="s">
        <v>3</v>
      </c>
      <c r="H56" s="5" t="s">
        <v>3</v>
      </c>
    </row>
    <row r="57" spans="1:8" x14ac:dyDescent="0.25">
      <c r="A57" s="5" t="s">
        <v>3</v>
      </c>
      <c r="B57" s="5" t="s">
        <v>3</v>
      </c>
      <c r="C57" s="5" t="s">
        <v>565</v>
      </c>
      <c r="D57" s="6">
        <v>134.01</v>
      </c>
      <c r="E57" s="6">
        <v>0</v>
      </c>
      <c r="F57" s="6">
        <f>D57+E57</f>
        <v>134.01</v>
      </c>
      <c r="G57" s="5" t="s">
        <v>3</v>
      </c>
      <c r="H57" s="5" t="s">
        <v>3</v>
      </c>
    </row>
    <row r="58" spans="1:8" x14ac:dyDescent="0.25">
      <c r="A58" s="5" t="s">
        <v>3</v>
      </c>
      <c r="B58" s="5" t="s">
        <v>3</v>
      </c>
      <c r="C58" s="5" t="s">
        <v>1032</v>
      </c>
      <c r="D58" s="6">
        <v>116.42</v>
      </c>
      <c r="E58" s="6">
        <v>0</v>
      </c>
      <c r="F58" s="6">
        <f>D58+E58</f>
        <v>116.42</v>
      </c>
      <c r="G58" s="5" t="s">
        <v>3</v>
      </c>
      <c r="H58" s="5" t="s">
        <v>3</v>
      </c>
    </row>
    <row r="59" spans="1:8" x14ac:dyDescent="0.25">
      <c r="A59" s="5" t="s">
        <v>3</v>
      </c>
      <c r="B59" s="5" t="s">
        <v>3</v>
      </c>
      <c r="C59" s="5" t="s">
        <v>800</v>
      </c>
      <c r="D59" s="6">
        <v>106.95</v>
      </c>
      <c r="E59" s="6">
        <v>0</v>
      </c>
      <c r="F59" s="6">
        <f>D59+E59</f>
        <v>106.95</v>
      </c>
      <c r="G59" s="5" t="s">
        <v>3</v>
      </c>
      <c r="H59" s="5" t="s">
        <v>3</v>
      </c>
    </row>
    <row r="60" spans="1:8" x14ac:dyDescent="0.25">
      <c r="A60" s="5" t="s">
        <v>3</v>
      </c>
      <c r="B60" s="5" t="s">
        <v>3</v>
      </c>
      <c r="C60" s="5" t="s">
        <v>556</v>
      </c>
      <c r="D60" s="6">
        <v>52.92</v>
      </c>
      <c r="E60" s="6">
        <v>0</v>
      </c>
      <c r="F60" s="6">
        <f>D60+E60</f>
        <v>52.92</v>
      </c>
      <c r="G60" s="5" t="s">
        <v>3</v>
      </c>
      <c r="H60" s="5" t="s">
        <v>3</v>
      </c>
    </row>
    <row r="61" spans="1:8" x14ac:dyDescent="0.25">
      <c r="A61" s="5" t="s">
        <v>3</v>
      </c>
      <c r="B61" s="5" t="s">
        <v>3</v>
      </c>
      <c r="C61" s="5" t="s">
        <v>1033</v>
      </c>
      <c r="D61" s="6">
        <v>21.01</v>
      </c>
      <c r="E61" s="6">
        <v>0</v>
      </c>
      <c r="F61" s="6">
        <f>D61+E61</f>
        <v>21.01</v>
      </c>
      <c r="G61" s="5" t="s">
        <v>3</v>
      </c>
      <c r="H61" s="5" t="s">
        <v>3</v>
      </c>
    </row>
    <row r="62" spans="1:8" x14ac:dyDescent="0.25">
      <c r="A62" s="24" t="s">
        <v>370</v>
      </c>
      <c r="B62" s="24" t="s">
        <v>371</v>
      </c>
      <c r="C62" s="24" t="s">
        <v>499</v>
      </c>
      <c r="D62" s="27">
        <f>SUM(D63:D71)</f>
        <v>3913.31</v>
      </c>
      <c r="E62" s="27">
        <f>SUM(E63:E71)</f>
        <v>98413.21</v>
      </c>
      <c r="F62" s="27">
        <f>SUM(F63:F71)</f>
        <v>102326.52</v>
      </c>
      <c r="G62" s="24" t="s">
        <v>3</v>
      </c>
      <c r="H62" s="24" t="s">
        <v>3</v>
      </c>
    </row>
    <row r="63" spans="1:8" x14ac:dyDescent="0.25">
      <c r="A63" s="5" t="s">
        <v>3</v>
      </c>
      <c r="B63" s="5" t="s">
        <v>3</v>
      </c>
      <c r="C63" s="5" t="s">
        <v>180</v>
      </c>
      <c r="D63" s="6">
        <v>-46867</v>
      </c>
      <c r="E63" s="29">
        <v>75911.26</v>
      </c>
      <c r="F63" s="6">
        <f>D63+E63</f>
        <v>29044.26</v>
      </c>
      <c r="G63" s="23" t="s">
        <v>1034</v>
      </c>
      <c r="H63" s="5" t="s">
        <v>3</v>
      </c>
    </row>
    <row r="64" spans="1:8" x14ac:dyDescent="0.25">
      <c r="A64" s="5" t="s">
        <v>3</v>
      </c>
      <c r="B64" s="5" t="s">
        <v>3</v>
      </c>
      <c r="C64" s="5" t="s">
        <v>131</v>
      </c>
      <c r="D64" s="6">
        <v>5585</v>
      </c>
      <c r="E64" s="14">
        <v>22501.95</v>
      </c>
      <c r="F64" s="6">
        <f>D64+E64</f>
        <v>28086.95</v>
      </c>
      <c r="G64" s="15" t="s">
        <v>1035</v>
      </c>
      <c r="H64" s="5" t="s">
        <v>3</v>
      </c>
    </row>
    <row r="65" spans="1:8" x14ac:dyDescent="0.25">
      <c r="A65" s="5" t="s">
        <v>3</v>
      </c>
      <c r="B65" s="5" t="s">
        <v>3</v>
      </c>
      <c r="C65" s="5" t="s">
        <v>270</v>
      </c>
      <c r="D65" s="6">
        <v>12408</v>
      </c>
      <c r="E65" s="6">
        <v>0</v>
      </c>
      <c r="F65" s="6">
        <f>D65+E65</f>
        <v>12408</v>
      </c>
      <c r="G65" s="5" t="s">
        <v>3</v>
      </c>
      <c r="H65" s="5" t="s">
        <v>3</v>
      </c>
    </row>
    <row r="66" spans="1:8" x14ac:dyDescent="0.25">
      <c r="A66" s="5" t="s">
        <v>3</v>
      </c>
      <c r="B66" s="5" t="s">
        <v>3</v>
      </c>
      <c r="C66" s="5" t="s">
        <v>265</v>
      </c>
      <c r="D66" s="6">
        <v>10000</v>
      </c>
      <c r="E66" s="6">
        <v>0</v>
      </c>
      <c r="F66" s="6">
        <f>D66+E66</f>
        <v>10000</v>
      </c>
      <c r="G66" s="5" t="s">
        <v>3</v>
      </c>
      <c r="H66" s="5" t="s">
        <v>3</v>
      </c>
    </row>
    <row r="67" spans="1:8" x14ac:dyDescent="0.25">
      <c r="A67" s="5" t="s">
        <v>3</v>
      </c>
      <c r="B67" s="5" t="s">
        <v>3</v>
      </c>
      <c r="C67" s="5" t="s">
        <v>121</v>
      </c>
      <c r="D67" s="6">
        <v>9135</v>
      </c>
      <c r="E67" s="6">
        <v>0</v>
      </c>
      <c r="F67" s="6">
        <f>D67+E67</f>
        <v>9135</v>
      </c>
      <c r="G67" s="5" t="s">
        <v>3</v>
      </c>
      <c r="H67" s="5" t="s">
        <v>3</v>
      </c>
    </row>
    <row r="68" spans="1:8" x14ac:dyDescent="0.25">
      <c r="A68" s="5" t="s">
        <v>3</v>
      </c>
      <c r="B68" s="5" t="s">
        <v>3</v>
      </c>
      <c r="C68" s="5" t="s">
        <v>790</v>
      </c>
      <c r="D68" s="6">
        <v>6273.23</v>
      </c>
      <c r="E68" s="6">
        <v>0</v>
      </c>
      <c r="F68" s="6">
        <f>D68+E68</f>
        <v>6273.23</v>
      </c>
      <c r="G68" s="5" t="s">
        <v>3</v>
      </c>
      <c r="H68" s="5" t="s">
        <v>3</v>
      </c>
    </row>
    <row r="69" spans="1:8" x14ac:dyDescent="0.25">
      <c r="A69" s="5" t="s">
        <v>3</v>
      </c>
      <c r="B69" s="5" t="s">
        <v>3</v>
      </c>
      <c r="C69" s="5" t="s">
        <v>558</v>
      </c>
      <c r="D69" s="6">
        <v>2948</v>
      </c>
      <c r="E69" s="6">
        <v>0</v>
      </c>
      <c r="F69" s="6">
        <f>D69+E69</f>
        <v>2948</v>
      </c>
      <c r="G69" s="5" t="s">
        <v>3</v>
      </c>
      <c r="H69" s="5" t="s">
        <v>3</v>
      </c>
    </row>
    <row r="70" spans="1:8" x14ac:dyDescent="0.25">
      <c r="A70" s="5" t="s">
        <v>3</v>
      </c>
      <c r="B70" s="5" t="s">
        <v>3</v>
      </c>
      <c r="C70" s="5" t="s">
        <v>572</v>
      </c>
      <c r="D70" s="6">
        <v>2744.72</v>
      </c>
      <c r="E70" s="6">
        <v>0</v>
      </c>
      <c r="F70" s="6">
        <f>D70+E70</f>
        <v>2744.72</v>
      </c>
      <c r="G70" s="5" t="s">
        <v>3</v>
      </c>
      <c r="H70" s="5" t="s">
        <v>3</v>
      </c>
    </row>
    <row r="71" spans="1:8" x14ac:dyDescent="0.25">
      <c r="A71" s="5" t="s">
        <v>3</v>
      </c>
      <c r="B71" s="5" t="s">
        <v>3</v>
      </c>
      <c r="C71" s="5" t="s">
        <v>306</v>
      </c>
      <c r="D71" s="6">
        <v>1686.36</v>
      </c>
      <c r="E71" s="6">
        <v>0</v>
      </c>
      <c r="F71" s="6">
        <f>D71+E71</f>
        <v>1686.36</v>
      </c>
      <c r="G71" s="5" t="s">
        <v>3</v>
      </c>
      <c r="H71" s="5" t="s">
        <v>3</v>
      </c>
    </row>
    <row r="72" spans="1:8" x14ac:dyDescent="0.25">
      <c r="A72" s="24" t="s">
        <v>374</v>
      </c>
      <c r="B72" s="24" t="s">
        <v>375</v>
      </c>
      <c r="C72" s="24" t="s">
        <v>499</v>
      </c>
      <c r="D72" s="27">
        <f>SUM(D73:D73)</f>
        <v>1500</v>
      </c>
      <c r="E72" s="27">
        <f>SUM(E73:E73)</f>
        <v>0</v>
      </c>
      <c r="F72" s="27">
        <f>SUM(F73:F73)</f>
        <v>1500</v>
      </c>
      <c r="G72" s="24" t="s">
        <v>3</v>
      </c>
      <c r="H72" s="24" t="s">
        <v>3</v>
      </c>
    </row>
    <row r="73" spans="1:8" x14ac:dyDescent="0.25">
      <c r="A73" s="5" t="s">
        <v>3</v>
      </c>
      <c r="B73" s="5" t="s">
        <v>3</v>
      </c>
      <c r="C73" s="5" t="s">
        <v>1036</v>
      </c>
      <c r="D73" s="6">
        <v>1500</v>
      </c>
      <c r="E73" s="6">
        <v>0</v>
      </c>
      <c r="F73" s="6">
        <f>D73+E73</f>
        <v>1500</v>
      </c>
      <c r="G73" s="5" t="s">
        <v>3</v>
      </c>
      <c r="H73" s="5" t="s">
        <v>3</v>
      </c>
    </row>
    <row r="74" spans="1:8" x14ac:dyDescent="0.25">
      <c r="A74" s="24" t="s">
        <v>376</v>
      </c>
      <c r="B74" s="24" t="s">
        <v>377</v>
      </c>
      <c r="C74" s="24" t="s">
        <v>499</v>
      </c>
      <c r="D74" s="27">
        <f>SUM(D75:D75)</f>
        <v>125</v>
      </c>
      <c r="E74" s="27">
        <f>SUM(E75:E75)</f>
        <v>0</v>
      </c>
      <c r="F74" s="27">
        <f>SUM(F75:F75)</f>
        <v>125</v>
      </c>
      <c r="G74" s="24" t="s">
        <v>3</v>
      </c>
      <c r="H74" s="24" t="s">
        <v>3</v>
      </c>
    </row>
    <row r="75" spans="1:8" x14ac:dyDescent="0.25">
      <c r="A75" s="5" t="s">
        <v>3</v>
      </c>
      <c r="B75" s="5" t="s">
        <v>3</v>
      </c>
      <c r="C75" s="5" t="s">
        <v>1037</v>
      </c>
      <c r="D75" s="6">
        <v>125</v>
      </c>
      <c r="E75" s="6">
        <v>0</v>
      </c>
      <c r="F75" s="6">
        <f>D75+E75</f>
        <v>125</v>
      </c>
      <c r="G75" s="5" t="s">
        <v>3</v>
      </c>
      <c r="H75" s="5" t="s">
        <v>3</v>
      </c>
    </row>
    <row r="76" spans="1:8" x14ac:dyDescent="0.25">
      <c r="A76" s="24" t="s">
        <v>378</v>
      </c>
      <c r="B76" s="24" t="s">
        <v>379</v>
      </c>
      <c r="C76" s="24" t="s">
        <v>499</v>
      </c>
      <c r="D76" s="27">
        <f>SUM(D77:D77)</f>
        <v>235.52</v>
      </c>
      <c r="E76" s="27">
        <f>SUM(E77:E77)</f>
        <v>0</v>
      </c>
      <c r="F76" s="27">
        <f>SUM(F77:F77)</f>
        <v>235.52</v>
      </c>
      <c r="G76" s="24" t="s">
        <v>3</v>
      </c>
      <c r="H76" s="24" t="s">
        <v>3</v>
      </c>
    </row>
    <row r="77" spans="1:8" x14ac:dyDescent="0.25">
      <c r="A77" s="5" t="s">
        <v>3</v>
      </c>
      <c r="B77" s="5" t="s">
        <v>3</v>
      </c>
      <c r="C77" s="5" t="s">
        <v>582</v>
      </c>
      <c r="D77" s="6">
        <v>235.52</v>
      </c>
      <c r="E77" s="6">
        <v>0</v>
      </c>
      <c r="F77" s="6">
        <f>D77+E77</f>
        <v>235.52</v>
      </c>
      <c r="G77" s="5" t="s">
        <v>3</v>
      </c>
      <c r="H77" s="5" t="s">
        <v>3</v>
      </c>
    </row>
    <row r="78" spans="1:8" x14ac:dyDescent="0.25">
      <c r="A78" s="24" t="s">
        <v>380</v>
      </c>
      <c r="B78" s="24" t="s">
        <v>381</v>
      </c>
      <c r="C78" s="24" t="s">
        <v>499</v>
      </c>
      <c r="D78" s="27">
        <f>SUM(D79:D82)</f>
        <v>13957.29</v>
      </c>
      <c r="E78" s="27">
        <f>SUM(E79:E82)</f>
        <v>0</v>
      </c>
      <c r="F78" s="27">
        <f>SUM(F79:F82)</f>
        <v>13957.29</v>
      </c>
      <c r="G78" s="24" t="s">
        <v>3</v>
      </c>
      <c r="H78" s="24" t="s">
        <v>3</v>
      </c>
    </row>
    <row r="79" spans="1:8" x14ac:dyDescent="0.25">
      <c r="A79" s="5" t="s">
        <v>3</v>
      </c>
      <c r="B79" s="5" t="s">
        <v>3</v>
      </c>
      <c r="C79" s="5" t="s">
        <v>1005</v>
      </c>
      <c r="D79" s="6">
        <v>11942.06</v>
      </c>
      <c r="E79" s="6">
        <v>0</v>
      </c>
      <c r="F79" s="6">
        <f>D79+E79</f>
        <v>11942.06</v>
      </c>
      <c r="G79" s="5" t="s">
        <v>3</v>
      </c>
      <c r="H79" s="5" t="s">
        <v>3</v>
      </c>
    </row>
    <row r="80" spans="1:8" x14ac:dyDescent="0.25">
      <c r="A80" s="5" t="s">
        <v>3</v>
      </c>
      <c r="B80" s="5" t="s">
        <v>3</v>
      </c>
      <c r="C80" s="5" t="s">
        <v>881</v>
      </c>
      <c r="D80" s="6">
        <v>1604.39</v>
      </c>
      <c r="E80" s="6">
        <v>0</v>
      </c>
      <c r="F80" s="6">
        <f>D80+E80</f>
        <v>1604.39</v>
      </c>
      <c r="G80" s="5" t="s">
        <v>3</v>
      </c>
      <c r="H80" s="5" t="s">
        <v>3</v>
      </c>
    </row>
    <row r="81" spans="1:8" x14ac:dyDescent="0.25">
      <c r="A81" s="5" t="s">
        <v>3</v>
      </c>
      <c r="B81" s="5" t="s">
        <v>3</v>
      </c>
      <c r="C81" s="5" t="s">
        <v>1038</v>
      </c>
      <c r="D81" s="6">
        <v>220.87</v>
      </c>
      <c r="E81" s="6">
        <v>0</v>
      </c>
      <c r="F81" s="6">
        <f>D81+E81</f>
        <v>220.87</v>
      </c>
      <c r="G81" s="5" t="s">
        <v>3</v>
      </c>
      <c r="H81" s="5" t="s">
        <v>3</v>
      </c>
    </row>
    <row r="82" spans="1:8" x14ac:dyDescent="0.25">
      <c r="A82" s="5" t="s">
        <v>3</v>
      </c>
      <c r="B82" s="5" t="s">
        <v>3</v>
      </c>
      <c r="C82" s="5" t="s">
        <v>1039</v>
      </c>
      <c r="D82" s="6">
        <v>189.97</v>
      </c>
      <c r="E82" s="6">
        <v>0</v>
      </c>
      <c r="F82" s="6">
        <f>D82+E82</f>
        <v>189.97</v>
      </c>
      <c r="G82" s="5" t="s">
        <v>3</v>
      </c>
      <c r="H82" s="5" t="s">
        <v>3</v>
      </c>
    </row>
    <row r="83" spans="1:8" x14ac:dyDescent="0.25">
      <c r="A83" s="24" t="s">
        <v>382</v>
      </c>
      <c r="B83" s="24" t="s">
        <v>383</v>
      </c>
      <c r="C83" s="24" t="s">
        <v>499</v>
      </c>
      <c r="D83" s="27">
        <f>SUM(D84:D108)</f>
        <v>132458.76</v>
      </c>
      <c r="E83" s="27">
        <f>SUM(E84:E108)</f>
        <v>-3118.84</v>
      </c>
      <c r="F83" s="27">
        <f>SUM(F84:F108)</f>
        <v>129339.92</v>
      </c>
      <c r="G83" s="24" t="s">
        <v>3</v>
      </c>
      <c r="H83" s="24" t="s">
        <v>3</v>
      </c>
    </row>
    <row r="84" spans="1:8" x14ac:dyDescent="0.25">
      <c r="A84" s="5" t="s">
        <v>3</v>
      </c>
      <c r="B84" s="5" t="s">
        <v>3</v>
      </c>
      <c r="C84" s="5" t="s">
        <v>162</v>
      </c>
      <c r="D84" s="6">
        <v>19170</v>
      </c>
      <c r="E84" s="28">
        <v>-5400</v>
      </c>
      <c r="F84" s="6">
        <f>D84+E84</f>
        <v>13770</v>
      </c>
      <c r="G84" s="22" t="s">
        <v>1040</v>
      </c>
      <c r="H84" s="5" t="s">
        <v>3</v>
      </c>
    </row>
    <row r="85" spans="1:8" x14ac:dyDescent="0.25">
      <c r="A85" s="5" t="s">
        <v>3</v>
      </c>
      <c r="B85" s="5" t="s">
        <v>3</v>
      </c>
      <c r="C85" s="5" t="s">
        <v>190</v>
      </c>
      <c r="D85" s="6">
        <v>0</v>
      </c>
      <c r="E85" s="29">
        <v>2281.16</v>
      </c>
      <c r="F85" s="6">
        <f>D85+E85</f>
        <v>2281.16</v>
      </c>
      <c r="G85" s="23" t="s">
        <v>1041</v>
      </c>
      <c r="H85" s="5" t="s">
        <v>3</v>
      </c>
    </row>
    <row r="86" spans="1:8" x14ac:dyDescent="0.25">
      <c r="A86" s="5" t="s">
        <v>3</v>
      </c>
      <c r="B86" s="5" t="s">
        <v>3</v>
      </c>
      <c r="C86" s="5" t="s">
        <v>211</v>
      </c>
      <c r="D86" s="6">
        <v>39421.2</v>
      </c>
      <c r="E86" s="6">
        <v>0</v>
      </c>
      <c r="F86" s="6">
        <f>D86+E86</f>
        <v>39421.2</v>
      </c>
      <c r="G86" s="5" t="s">
        <v>3</v>
      </c>
      <c r="H86" s="5" t="s">
        <v>3</v>
      </c>
    </row>
    <row r="87" spans="1:8" x14ac:dyDescent="0.25">
      <c r="A87" s="5" t="s">
        <v>3</v>
      </c>
      <c r="B87" s="5" t="s">
        <v>3</v>
      </c>
      <c r="C87" s="5" t="s">
        <v>215</v>
      </c>
      <c r="D87" s="6">
        <v>17996</v>
      </c>
      <c r="E87" s="6">
        <v>0</v>
      </c>
      <c r="F87" s="6">
        <f>D87+E87</f>
        <v>17996</v>
      </c>
      <c r="G87" s="5" t="s">
        <v>3</v>
      </c>
      <c r="H87" s="5" t="s">
        <v>3</v>
      </c>
    </row>
    <row r="88" spans="1:8" x14ac:dyDescent="0.25">
      <c r="A88" s="5" t="s">
        <v>3</v>
      </c>
      <c r="B88" s="5" t="s">
        <v>3</v>
      </c>
      <c r="C88" s="5" t="s">
        <v>182</v>
      </c>
      <c r="D88" s="6">
        <v>17490.06</v>
      </c>
      <c r="E88" s="6">
        <v>0</v>
      </c>
      <c r="F88" s="6">
        <f>D88+E88</f>
        <v>17490.06</v>
      </c>
      <c r="G88" s="5" t="s">
        <v>3</v>
      </c>
      <c r="H88" s="5" t="s">
        <v>3</v>
      </c>
    </row>
    <row r="89" spans="1:8" x14ac:dyDescent="0.25">
      <c r="A89" s="5" t="s">
        <v>3</v>
      </c>
      <c r="B89" s="5" t="s">
        <v>3</v>
      </c>
      <c r="C89" s="5" t="s">
        <v>590</v>
      </c>
      <c r="D89" s="6">
        <v>9898.14</v>
      </c>
      <c r="E89" s="6">
        <v>0</v>
      </c>
      <c r="F89" s="6">
        <f>D89+E89</f>
        <v>9898.14</v>
      </c>
      <c r="G89" s="5" t="s">
        <v>3</v>
      </c>
      <c r="H89" s="5" t="s">
        <v>3</v>
      </c>
    </row>
    <row r="90" spans="1:8" x14ac:dyDescent="0.25">
      <c r="A90" s="5" t="s">
        <v>3</v>
      </c>
      <c r="B90" s="5" t="s">
        <v>3</v>
      </c>
      <c r="C90" s="5" t="s">
        <v>597</v>
      </c>
      <c r="D90" s="6">
        <v>7920.24</v>
      </c>
      <c r="E90" s="6">
        <v>0</v>
      </c>
      <c r="F90" s="6">
        <f>D90+E90</f>
        <v>7920.24</v>
      </c>
      <c r="G90" s="5" t="s">
        <v>3</v>
      </c>
      <c r="H90" s="5" t="s">
        <v>3</v>
      </c>
    </row>
    <row r="91" spans="1:8" x14ac:dyDescent="0.25">
      <c r="A91" s="5" t="s">
        <v>3</v>
      </c>
      <c r="B91" s="5" t="s">
        <v>3</v>
      </c>
      <c r="C91" s="5" t="s">
        <v>149</v>
      </c>
      <c r="D91" s="6">
        <v>5000</v>
      </c>
      <c r="E91" s="6">
        <v>0</v>
      </c>
      <c r="F91" s="6">
        <f>D91+E91</f>
        <v>5000</v>
      </c>
      <c r="G91" s="5" t="s">
        <v>3</v>
      </c>
      <c r="H91" s="5" t="s">
        <v>3</v>
      </c>
    </row>
    <row r="92" spans="1:8" x14ac:dyDescent="0.25">
      <c r="A92" s="5" t="s">
        <v>3</v>
      </c>
      <c r="B92" s="5" t="s">
        <v>3</v>
      </c>
      <c r="C92" s="5" t="s">
        <v>99</v>
      </c>
      <c r="D92" s="6">
        <v>4092.2</v>
      </c>
      <c r="E92" s="6">
        <v>0</v>
      </c>
      <c r="F92" s="6">
        <f>D92+E92</f>
        <v>4092.2</v>
      </c>
      <c r="G92" s="5" t="s">
        <v>3</v>
      </c>
      <c r="H92" s="5" t="s">
        <v>3</v>
      </c>
    </row>
    <row r="93" spans="1:8" x14ac:dyDescent="0.25">
      <c r="A93" s="5" t="s">
        <v>3</v>
      </c>
      <c r="B93" s="5" t="s">
        <v>3</v>
      </c>
      <c r="C93" s="5" t="s">
        <v>600</v>
      </c>
      <c r="D93" s="6">
        <v>2674.65</v>
      </c>
      <c r="E93" s="6">
        <v>0</v>
      </c>
      <c r="F93" s="6">
        <f>D93+E93</f>
        <v>2674.65</v>
      </c>
      <c r="G93" s="5" t="s">
        <v>3</v>
      </c>
      <c r="H93" s="5" t="s">
        <v>3</v>
      </c>
    </row>
    <row r="94" spans="1:8" x14ac:dyDescent="0.25">
      <c r="A94" s="5" t="s">
        <v>3</v>
      </c>
      <c r="B94" s="5" t="s">
        <v>3</v>
      </c>
      <c r="C94" s="5" t="s">
        <v>594</v>
      </c>
      <c r="D94" s="6">
        <v>2046.77</v>
      </c>
      <c r="E94" s="6">
        <v>0</v>
      </c>
      <c r="F94" s="6">
        <f>D94+E94</f>
        <v>2046.77</v>
      </c>
      <c r="G94" s="5" t="s">
        <v>3</v>
      </c>
      <c r="H94" s="5" t="s">
        <v>3</v>
      </c>
    </row>
    <row r="95" spans="1:8" x14ac:dyDescent="0.25">
      <c r="A95" s="5" t="s">
        <v>3</v>
      </c>
      <c r="B95" s="5" t="s">
        <v>3</v>
      </c>
      <c r="C95" s="5" t="s">
        <v>785</v>
      </c>
      <c r="D95" s="6">
        <v>1613.04</v>
      </c>
      <c r="E95" s="6">
        <v>0</v>
      </c>
      <c r="F95" s="6">
        <f>D95+E95</f>
        <v>1613.04</v>
      </c>
      <c r="G95" s="5" t="s">
        <v>3</v>
      </c>
      <c r="H95" s="5" t="s">
        <v>3</v>
      </c>
    </row>
    <row r="96" spans="1:8" x14ac:dyDescent="0.25">
      <c r="A96" s="5" t="s">
        <v>3</v>
      </c>
      <c r="B96" s="5" t="s">
        <v>3</v>
      </c>
      <c r="C96" s="5" t="s">
        <v>601</v>
      </c>
      <c r="D96" s="6">
        <v>1304</v>
      </c>
      <c r="E96" s="6">
        <v>0</v>
      </c>
      <c r="F96" s="6">
        <f>D96+E96</f>
        <v>1304</v>
      </c>
      <c r="G96" s="5" t="s">
        <v>3</v>
      </c>
      <c r="H96" s="5" t="s">
        <v>3</v>
      </c>
    </row>
    <row r="97" spans="1:8" x14ac:dyDescent="0.25">
      <c r="A97" s="5" t="s">
        <v>3</v>
      </c>
      <c r="B97" s="5" t="s">
        <v>3</v>
      </c>
      <c r="C97" s="5" t="s">
        <v>1042</v>
      </c>
      <c r="D97" s="6">
        <v>990</v>
      </c>
      <c r="E97" s="6">
        <v>0</v>
      </c>
      <c r="F97" s="6">
        <f>D97+E97</f>
        <v>990</v>
      </c>
      <c r="G97" s="5" t="s">
        <v>3</v>
      </c>
      <c r="H97" s="5" t="s">
        <v>3</v>
      </c>
    </row>
    <row r="98" spans="1:8" x14ac:dyDescent="0.25">
      <c r="A98" s="5" t="s">
        <v>3</v>
      </c>
      <c r="B98" s="5" t="s">
        <v>3</v>
      </c>
      <c r="C98" s="5" t="s">
        <v>602</v>
      </c>
      <c r="D98" s="6">
        <v>960</v>
      </c>
      <c r="E98" s="6">
        <v>0</v>
      </c>
      <c r="F98" s="6">
        <f>D98+E98</f>
        <v>960</v>
      </c>
      <c r="G98" s="5" t="s">
        <v>3</v>
      </c>
      <c r="H98" s="5" t="s">
        <v>3</v>
      </c>
    </row>
    <row r="99" spans="1:8" x14ac:dyDescent="0.25">
      <c r="A99" s="5" t="s">
        <v>3</v>
      </c>
      <c r="B99" s="5" t="s">
        <v>3</v>
      </c>
      <c r="C99" s="5" t="s">
        <v>841</v>
      </c>
      <c r="D99" s="6">
        <v>625.3</v>
      </c>
      <c r="E99" s="6">
        <v>0</v>
      </c>
      <c r="F99" s="6">
        <f>D99+E99</f>
        <v>625.3</v>
      </c>
      <c r="G99" s="5" t="s">
        <v>3</v>
      </c>
      <c r="H99" s="5" t="s">
        <v>3</v>
      </c>
    </row>
    <row r="100" spans="1:8" x14ac:dyDescent="0.25">
      <c r="A100" s="5" t="s">
        <v>3</v>
      </c>
      <c r="B100" s="5" t="s">
        <v>3</v>
      </c>
      <c r="C100" s="5" t="s">
        <v>1043</v>
      </c>
      <c r="D100" s="6">
        <v>527.02</v>
      </c>
      <c r="E100" s="6">
        <v>0</v>
      </c>
      <c r="F100" s="6">
        <f>D100+E100</f>
        <v>527.02</v>
      </c>
      <c r="G100" s="5" t="s">
        <v>3</v>
      </c>
      <c r="H100" s="5" t="s">
        <v>3</v>
      </c>
    </row>
    <row r="101" spans="1:8" x14ac:dyDescent="0.25">
      <c r="A101" s="5" t="s">
        <v>3</v>
      </c>
      <c r="B101" s="5" t="s">
        <v>3</v>
      </c>
      <c r="C101" s="5" t="s">
        <v>603</v>
      </c>
      <c r="D101" s="6">
        <v>213.4</v>
      </c>
      <c r="E101" s="6">
        <v>0</v>
      </c>
      <c r="F101" s="6">
        <f>D101+E101</f>
        <v>213.4</v>
      </c>
      <c r="G101" s="5" t="s">
        <v>3</v>
      </c>
      <c r="H101" s="5" t="s">
        <v>3</v>
      </c>
    </row>
    <row r="102" spans="1:8" x14ac:dyDescent="0.25">
      <c r="A102" s="5" t="s">
        <v>3</v>
      </c>
      <c r="B102" s="5" t="s">
        <v>3</v>
      </c>
      <c r="C102" s="5" t="s">
        <v>605</v>
      </c>
      <c r="D102" s="6">
        <v>129.79</v>
      </c>
      <c r="E102" s="6">
        <v>0</v>
      </c>
      <c r="F102" s="6">
        <f>D102+E102</f>
        <v>129.79</v>
      </c>
      <c r="G102" s="5" t="s">
        <v>3</v>
      </c>
      <c r="H102" s="5" t="s">
        <v>3</v>
      </c>
    </row>
    <row r="103" spans="1:8" x14ac:dyDescent="0.25">
      <c r="A103" s="5" t="s">
        <v>3</v>
      </c>
      <c r="B103" s="5" t="s">
        <v>3</v>
      </c>
      <c r="C103" s="5" t="s">
        <v>554</v>
      </c>
      <c r="D103" s="6">
        <v>106.95</v>
      </c>
      <c r="E103" s="6">
        <v>0</v>
      </c>
      <c r="F103" s="6">
        <f>D103+E103</f>
        <v>106.95</v>
      </c>
      <c r="G103" s="5" t="s">
        <v>3</v>
      </c>
      <c r="H103" s="5" t="s">
        <v>3</v>
      </c>
    </row>
    <row r="104" spans="1:8" x14ac:dyDescent="0.25">
      <c r="A104" s="5" t="s">
        <v>3</v>
      </c>
      <c r="B104" s="5" t="s">
        <v>3</v>
      </c>
      <c r="C104" s="5" t="s">
        <v>1044</v>
      </c>
      <c r="D104" s="6">
        <v>99</v>
      </c>
      <c r="E104" s="6">
        <v>0</v>
      </c>
      <c r="F104" s="6">
        <f>D104+E104</f>
        <v>99</v>
      </c>
      <c r="G104" s="5" t="s">
        <v>3</v>
      </c>
      <c r="H104" s="5" t="s">
        <v>3</v>
      </c>
    </row>
    <row r="105" spans="1:8" x14ac:dyDescent="0.25">
      <c r="A105" s="5" t="s">
        <v>3</v>
      </c>
      <c r="B105" s="5" t="s">
        <v>3</v>
      </c>
      <c r="C105" s="5" t="s">
        <v>1045</v>
      </c>
      <c r="D105" s="6">
        <v>90.72</v>
      </c>
      <c r="E105" s="6">
        <v>0</v>
      </c>
      <c r="F105" s="6">
        <f>D105+E105</f>
        <v>90.72</v>
      </c>
      <c r="G105" s="5" t="s">
        <v>3</v>
      </c>
      <c r="H105" s="5" t="s">
        <v>3</v>
      </c>
    </row>
    <row r="106" spans="1:8" x14ac:dyDescent="0.25">
      <c r="A106" s="5" t="s">
        <v>3</v>
      </c>
      <c r="B106" s="5" t="s">
        <v>3</v>
      </c>
      <c r="C106" s="5" t="s">
        <v>612</v>
      </c>
      <c r="D106" s="6">
        <v>37.51</v>
      </c>
      <c r="E106" s="6">
        <v>0</v>
      </c>
      <c r="F106" s="6">
        <f>D106+E106</f>
        <v>37.51</v>
      </c>
      <c r="G106" s="5" t="s">
        <v>3</v>
      </c>
      <c r="H106" s="5" t="s">
        <v>3</v>
      </c>
    </row>
    <row r="107" spans="1:8" x14ac:dyDescent="0.25">
      <c r="A107" s="5" t="s">
        <v>3</v>
      </c>
      <c r="B107" s="5" t="s">
        <v>3</v>
      </c>
      <c r="C107" s="5" t="s">
        <v>1001</v>
      </c>
      <c r="D107" s="6">
        <v>28.98</v>
      </c>
      <c r="E107" s="6">
        <v>0</v>
      </c>
      <c r="F107" s="6">
        <f>D107+E107</f>
        <v>28.98</v>
      </c>
      <c r="G107" s="5" t="s">
        <v>3</v>
      </c>
      <c r="H107" s="5" t="s">
        <v>3</v>
      </c>
    </row>
    <row r="108" spans="1:8" x14ac:dyDescent="0.25">
      <c r="A108" s="5" t="s">
        <v>3</v>
      </c>
      <c r="B108" s="5" t="s">
        <v>3</v>
      </c>
      <c r="C108" s="5" t="s">
        <v>1046</v>
      </c>
      <c r="D108" s="6">
        <v>23.79</v>
      </c>
      <c r="E108" s="6">
        <v>0</v>
      </c>
      <c r="F108" s="6">
        <f>D108+E108</f>
        <v>23.79</v>
      </c>
      <c r="G108" s="5" t="s">
        <v>3</v>
      </c>
      <c r="H108" s="5" t="s">
        <v>3</v>
      </c>
    </row>
    <row r="109" spans="1:8" x14ac:dyDescent="0.25">
      <c r="A109" s="24" t="s">
        <v>384</v>
      </c>
      <c r="B109" s="24" t="s">
        <v>385</v>
      </c>
      <c r="C109" s="24" t="s">
        <v>499</v>
      </c>
      <c r="D109" s="27">
        <f>SUM(D110:D112)</f>
        <v>17762.35</v>
      </c>
      <c r="E109" s="27">
        <f>SUM(E110:E112)</f>
        <v>0</v>
      </c>
      <c r="F109" s="27">
        <f>SUM(F110:F112)</f>
        <v>17762.35</v>
      </c>
      <c r="G109" s="24" t="s">
        <v>3</v>
      </c>
      <c r="H109" s="24" t="s">
        <v>3</v>
      </c>
    </row>
    <row r="110" spans="1:8" x14ac:dyDescent="0.25">
      <c r="A110" s="5" t="s">
        <v>3</v>
      </c>
      <c r="B110" s="5" t="s">
        <v>3</v>
      </c>
      <c r="C110" s="5" t="s">
        <v>1047</v>
      </c>
      <c r="D110" s="6">
        <v>11699.35</v>
      </c>
      <c r="E110" s="6">
        <v>0</v>
      </c>
      <c r="F110" s="6">
        <f>D110+E110</f>
        <v>11699.35</v>
      </c>
      <c r="G110" s="5" t="s">
        <v>3</v>
      </c>
      <c r="H110" s="5" t="s">
        <v>3</v>
      </c>
    </row>
    <row r="111" spans="1:8" x14ac:dyDescent="0.25">
      <c r="A111" s="5" t="s">
        <v>3</v>
      </c>
      <c r="B111" s="5" t="s">
        <v>3</v>
      </c>
      <c r="C111" s="5" t="s">
        <v>615</v>
      </c>
      <c r="D111" s="6">
        <v>4063</v>
      </c>
      <c r="E111" s="6">
        <v>0</v>
      </c>
      <c r="F111" s="6">
        <f>D111+E111</f>
        <v>4063</v>
      </c>
      <c r="G111" s="5" t="s">
        <v>3</v>
      </c>
      <c r="H111" s="5" t="s">
        <v>3</v>
      </c>
    </row>
    <row r="112" spans="1:8" x14ac:dyDescent="0.25">
      <c r="A112" s="5" t="s">
        <v>3</v>
      </c>
      <c r="B112" s="5" t="s">
        <v>3</v>
      </c>
      <c r="C112" s="5" t="s">
        <v>617</v>
      </c>
      <c r="D112" s="6">
        <v>2000</v>
      </c>
      <c r="E112" s="6">
        <v>0</v>
      </c>
      <c r="F112" s="6">
        <f>D112+E112</f>
        <v>2000</v>
      </c>
      <c r="G112" s="5" t="s">
        <v>3</v>
      </c>
      <c r="H112" s="5" t="s">
        <v>3</v>
      </c>
    </row>
    <row r="113" spans="1:8" x14ac:dyDescent="0.25">
      <c r="A113" s="24" t="s">
        <v>386</v>
      </c>
      <c r="B113" s="24" t="s">
        <v>387</v>
      </c>
      <c r="C113" s="24" t="s">
        <v>499</v>
      </c>
      <c r="D113" s="27">
        <f>SUM(D114:D115)</f>
        <v>2883.64</v>
      </c>
      <c r="E113" s="27">
        <f>SUM(E114:E115)</f>
        <v>0</v>
      </c>
      <c r="F113" s="27">
        <f>SUM(F114:F115)</f>
        <v>2883.64</v>
      </c>
      <c r="G113" s="24" t="s">
        <v>3</v>
      </c>
      <c r="H113" s="24" t="s">
        <v>3</v>
      </c>
    </row>
    <row r="114" spans="1:8" x14ac:dyDescent="0.25">
      <c r="A114" s="5" t="s">
        <v>3</v>
      </c>
      <c r="B114" s="5" t="s">
        <v>3</v>
      </c>
      <c r="C114" s="5" t="s">
        <v>1048</v>
      </c>
      <c r="D114" s="6">
        <v>1856.71</v>
      </c>
      <c r="E114" s="6">
        <v>0</v>
      </c>
      <c r="F114" s="6">
        <f>D114+E114</f>
        <v>1856.71</v>
      </c>
      <c r="G114" s="5" t="s">
        <v>3</v>
      </c>
      <c r="H114" s="5" t="s">
        <v>3</v>
      </c>
    </row>
    <row r="115" spans="1:8" x14ac:dyDescent="0.25">
      <c r="A115" s="5" t="s">
        <v>3</v>
      </c>
      <c r="B115" s="5" t="s">
        <v>3</v>
      </c>
      <c r="C115" s="5" t="s">
        <v>1049</v>
      </c>
      <c r="D115" s="6">
        <v>1026.93</v>
      </c>
      <c r="E115" s="6">
        <v>0</v>
      </c>
      <c r="F115" s="6">
        <f>D115+E115</f>
        <v>1026.93</v>
      </c>
      <c r="G115" s="5" t="s">
        <v>3</v>
      </c>
      <c r="H115" s="5" t="s">
        <v>3</v>
      </c>
    </row>
    <row r="116" spans="1:8" x14ac:dyDescent="0.25">
      <c r="A116" s="24" t="s">
        <v>388</v>
      </c>
      <c r="B116" s="24" t="s">
        <v>389</v>
      </c>
      <c r="C116" s="24" t="s">
        <v>499</v>
      </c>
      <c r="D116" s="27">
        <f>SUM(D117:D117)</f>
        <v>2000</v>
      </c>
      <c r="E116" s="27">
        <f>SUM(E117:E117)</f>
        <v>0</v>
      </c>
      <c r="F116" s="27">
        <f>SUM(F117:F117)</f>
        <v>2000</v>
      </c>
      <c r="G116" s="24" t="s">
        <v>3</v>
      </c>
      <c r="H116" s="24" t="s">
        <v>3</v>
      </c>
    </row>
    <row r="117" spans="1:8" x14ac:dyDescent="0.25">
      <c r="A117" s="5" t="s">
        <v>3</v>
      </c>
      <c r="B117" s="5" t="s">
        <v>3</v>
      </c>
      <c r="C117" s="5" t="s">
        <v>882</v>
      </c>
      <c r="D117" s="6">
        <v>2000</v>
      </c>
      <c r="E117" s="6">
        <v>0</v>
      </c>
      <c r="F117" s="6">
        <f>D117+E117</f>
        <v>2000</v>
      </c>
      <c r="G117" s="5" t="s">
        <v>3</v>
      </c>
      <c r="H117" s="5" t="s">
        <v>3</v>
      </c>
    </row>
    <row r="118" spans="1:8" x14ac:dyDescent="0.25">
      <c r="A118" s="24" t="s">
        <v>392</v>
      </c>
      <c r="B118" s="24" t="s">
        <v>393</v>
      </c>
      <c r="C118" s="24" t="s">
        <v>499</v>
      </c>
      <c r="D118" s="27">
        <f>SUM(D119:D121)</f>
        <v>11862.57</v>
      </c>
      <c r="E118" s="27">
        <f>SUM(E119:E121)</f>
        <v>0</v>
      </c>
      <c r="F118" s="27">
        <f>SUM(F119:F121)</f>
        <v>11862.57</v>
      </c>
      <c r="G118" s="24" t="s">
        <v>3</v>
      </c>
      <c r="H118" s="24" t="s">
        <v>3</v>
      </c>
    </row>
    <row r="119" spans="1:8" x14ac:dyDescent="0.25">
      <c r="A119" s="5" t="s">
        <v>3</v>
      </c>
      <c r="B119" s="5" t="s">
        <v>3</v>
      </c>
      <c r="C119" s="5" t="s">
        <v>1050</v>
      </c>
      <c r="D119" s="6">
        <v>8376.58</v>
      </c>
      <c r="E119" s="6">
        <v>0</v>
      </c>
      <c r="F119" s="6">
        <f>D119+E119</f>
        <v>8376.58</v>
      </c>
      <c r="G119" s="5" t="s">
        <v>3</v>
      </c>
      <c r="H119" s="5" t="s">
        <v>3</v>
      </c>
    </row>
    <row r="120" spans="1:8" x14ac:dyDescent="0.25">
      <c r="A120" s="5" t="s">
        <v>3</v>
      </c>
      <c r="B120" s="5" t="s">
        <v>3</v>
      </c>
      <c r="C120" s="5" t="s">
        <v>151</v>
      </c>
      <c r="D120" s="6">
        <v>2876.91</v>
      </c>
      <c r="E120" s="6">
        <v>0</v>
      </c>
      <c r="F120" s="6">
        <f>D120+E120</f>
        <v>2876.91</v>
      </c>
      <c r="G120" s="5" t="s">
        <v>3</v>
      </c>
      <c r="H120" s="5" t="s">
        <v>3</v>
      </c>
    </row>
    <row r="121" spans="1:8" x14ac:dyDescent="0.25">
      <c r="A121" s="5" t="s">
        <v>3</v>
      </c>
      <c r="B121" s="5" t="s">
        <v>3</v>
      </c>
      <c r="C121" s="5" t="s">
        <v>1051</v>
      </c>
      <c r="D121" s="6">
        <v>609.08</v>
      </c>
      <c r="E121" s="6">
        <v>0</v>
      </c>
      <c r="F121" s="6">
        <f>D121+E121</f>
        <v>609.08</v>
      </c>
      <c r="G121" s="5" t="s">
        <v>3</v>
      </c>
      <c r="H121" s="5" t="s">
        <v>3</v>
      </c>
    </row>
    <row r="122" spans="1:8" x14ac:dyDescent="0.25">
      <c r="A122" s="24" t="s">
        <v>394</v>
      </c>
      <c r="B122" s="24" t="s">
        <v>395</v>
      </c>
      <c r="C122" s="24" t="s">
        <v>499</v>
      </c>
      <c r="D122" s="27">
        <f>SUM(D123:D131)</f>
        <v>1131.89</v>
      </c>
      <c r="E122" s="27">
        <f>SUM(E123:E131)</f>
        <v>0</v>
      </c>
      <c r="F122" s="27">
        <f>SUM(F123:F131)</f>
        <v>1131.89</v>
      </c>
      <c r="G122" s="24" t="s">
        <v>3</v>
      </c>
      <c r="H122" s="24" t="s">
        <v>3</v>
      </c>
    </row>
    <row r="123" spans="1:8" x14ac:dyDescent="0.25">
      <c r="A123" s="5" t="s">
        <v>3</v>
      </c>
      <c r="B123" s="5" t="s">
        <v>3</v>
      </c>
      <c r="C123" s="5" t="s">
        <v>1052</v>
      </c>
      <c r="D123" s="6">
        <v>264.08</v>
      </c>
      <c r="E123" s="6">
        <v>0</v>
      </c>
      <c r="F123" s="6">
        <f>D123+E123</f>
        <v>264.08</v>
      </c>
      <c r="G123" s="5" t="s">
        <v>3</v>
      </c>
      <c r="H123" s="5" t="s">
        <v>3</v>
      </c>
    </row>
    <row r="124" spans="1:8" x14ac:dyDescent="0.25">
      <c r="A124" s="5" t="s">
        <v>3</v>
      </c>
      <c r="B124" s="5" t="s">
        <v>3</v>
      </c>
      <c r="C124" s="5" t="s">
        <v>1053</v>
      </c>
      <c r="D124" s="6">
        <v>242.8</v>
      </c>
      <c r="E124" s="6">
        <v>0</v>
      </c>
      <c r="F124" s="6">
        <f>D124+E124</f>
        <v>242.8</v>
      </c>
      <c r="G124" s="5" t="s">
        <v>3</v>
      </c>
      <c r="H124" s="5" t="s">
        <v>3</v>
      </c>
    </row>
    <row r="125" spans="1:8" x14ac:dyDescent="0.25">
      <c r="A125" s="5" t="s">
        <v>3</v>
      </c>
      <c r="B125" s="5" t="s">
        <v>3</v>
      </c>
      <c r="C125" s="5" t="s">
        <v>1054</v>
      </c>
      <c r="D125" s="6">
        <v>189.74</v>
      </c>
      <c r="E125" s="6">
        <v>0</v>
      </c>
      <c r="F125" s="6">
        <f>D125+E125</f>
        <v>189.74</v>
      </c>
      <c r="G125" s="5" t="s">
        <v>3</v>
      </c>
      <c r="H125" s="5" t="s">
        <v>3</v>
      </c>
    </row>
    <row r="126" spans="1:8" x14ac:dyDescent="0.25">
      <c r="A126" s="5" t="s">
        <v>3</v>
      </c>
      <c r="B126" s="5" t="s">
        <v>3</v>
      </c>
      <c r="C126" s="5" t="s">
        <v>1055</v>
      </c>
      <c r="D126" s="6">
        <v>149.44</v>
      </c>
      <c r="E126" s="6">
        <v>0</v>
      </c>
      <c r="F126" s="6">
        <f>D126+E126</f>
        <v>149.44</v>
      </c>
      <c r="G126" s="5" t="s">
        <v>3</v>
      </c>
      <c r="H126" s="5" t="s">
        <v>3</v>
      </c>
    </row>
    <row r="127" spans="1:8" x14ac:dyDescent="0.25">
      <c r="A127" s="5" t="s">
        <v>3</v>
      </c>
      <c r="B127" s="5" t="s">
        <v>3</v>
      </c>
      <c r="C127" s="5" t="s">
        <v>1056</v>
      </c>
      <c r="D127" s="6">
        <v>128.57</v>
      </c>
      <c r="E127" s="6">
        <v>0</v>
      </c>
      <c r="F127" s="6">
        <f>D127+E127</f>
        <v>128.57</v>
      </c>
      <c r="G127" s="5" t="s">
        <v>3</v>
      </c>
      <c r="H127" s="5" t="s">
        <v>3</v>
      </c>
    </row>
    <row r="128" spans="1:8" x14ac:dyDescent="0.25">
      <c r="A128" s="5" t="s">
        <v>3</v>
      </c>
      <c r="B128" s="5" t="s">
        <v>3</v>
      </c>
      <c r="C128" s="5" t="s">
        <v>1057</v>
      </c>
      <c r="D128" s="6">
        <v>67.96</v>
      </c>
      <c r="E128" s="6">
        <v>0</v>
      </c>
      <c r="F128" s="6">
        <f>D128+E128</f>
        <v>67.96</v>
      </c>
      <c r="G128" s="5" t="s">
        <v>3</v>
      </c>
      <c r="H128" s="5" t="s">
        <v>3</v>
      </c>
    </row>
    <row r="129" spans="1:8" x14ac:dyDescent="0.25">
      <c r="A129" s="5" t="s">
        <v>3</v>
      </c>
      <c r="B129" s="5" t="s">
        <v>3</v>
      </c>
      <c r="C129" s="5" t="s">
        <v>1058</v>
      </c>
      <c r="D129" s="6">
        <v>62.2</v>
      </c>
      <c r="E129" s="6">
        <v>0</v>
      </c>
      <c r="F129" s="6">
        <f>D129+E129</f>
        <v>62.2</v>
      </c>
      <c r="G129" s="5" t="s">
        <v>3</v>
      </c>
      <c r="H129" s="5" t="s">
        <v>3</v>
      </c>
    </row>
    <row r="130" spans="1:8" x14ac:dyDescent="0.25">
      <c r="A130" s="5" t="s">
        <v>3</v>
      </c>
      <c r="B130" s="5" t="s">
        <v>3</v>
      </c>
      <c r="C130" s="5" t="s">
        <v>1059</v>
      </c>
      <c r="D130" s="6">
        <v>14.48</v>
      </c>
      <c r="E130" s="6">
        <v>0</v>
      </c>
      <c r="F130" s="6">
        <f>D130+E130</f>
        <v>14.48</v>
      </c>
      <c r="G130" s="5" t="s">
        <v>3</v>
      </c>
      <c r="H130" s="5" t="s">
        <v>3</v>
      </c>
    </row>
    <row r="131" spans="1:8" x14ac:dyDescent="0.25">
      <c r="A131" s="5" t="s">
        <v>3</v>
      </c>
      <c r="B131" s="5" t="s">
        <v>3</v>
      </c>
      <c r="C131" s="5" t="s">
        <v>1060</v>
      </c>
      <c r="D131" s="6">
        <v>12.62</v>
      </c>
      <c r="E131" s="6">
        <v>0</v>
      </c>
      <c r="F131" s="6">
        <f>D131+E131</f>
        <v>12.62</v>
      </c>
      <c r="G131" s="5" t="s">
        <v>3</v>
      </c>
      <c r="H131" s="5" t="s">
        <v>3</v>
      </c>
    </row>
    <row r="132" spans="1:8" x14ac:dyDescent="0.25">
      <c r="A132" s="24" t="s">
        <v>396</v>
      </c>
      <c r="B132" s="24" t="s">
        <v>397</v>
      </c>
      <c r="C132" s="24" t="s">
        <v>499</v>
      </c>
      <c r="D132" s="27">
        <f>SUM(D133:D135)</f>
        <v>593.99</v>
      </c>
      <c r="E132" s="27">
        <f>SUM(E133:E135)</f>
        <v>0</v>
      </c>
      <c r="F132" s="27">
        <f>SUM(F133:F135)</f>
        <v>593.99</v>
      </c>
      <c r="G132" s="24" t="s">
        <v>3</v>
      </c>
      <c r="H132" s="24" t="s">
        <v>3</v>
      </c>
    </row>
    <row r="133" spans="1:8" x14ac:dyDescent="0.25">
      <c r="A133" s="5" t="s">
        <v>3</v>
      </c>
      <c r="B133" s="5" t="s">
        <v>3</v>
      </c>
      <c r="C133" s="5" t="s">
        <v>1061</v>
      </c>
      <c r="D133" s="6">
        <v>243.72</v>
      </c>
      <c r="E133" s="6">
        <v>0</v>
      </c>
      <c r="F133" s="6">
        <f>D133+E133</f>
        <v>243.72</v>
      </c>
      <c r="G133" s="5" t="s">
        <v>3</v>
      </c>
      <c r="H133" s="5" t="s">
        <v>3</v>
      </c>
    </row>
    <row r="134" spans="1:8" x14ac:dyDescent="0.25">
      <c r="A134" s="5" t="s">
        <v>3</v>
      </c>
      <c r="B134" s="5" t="s">
        <v>3</v>
      </c>
      <c r="C134" s="5" t="s">
        <v>1062</v>
      </c>
      <c r="D134" s="6">
        <v>188.95</v>
      </c>
      <c r="E134" s="6">
        <v>0</v>
      </c>
      <c r="F134" s="6">
        <f>D134+E134</f>
        <v>188.95</v>
      </c>
      <c r="G134" s="5" t="s">
        <v>3</v>
      </c>
      <c r="H134" s="5" t="s">
        <v>3</v>
      </c>
    </row>
    <row r="135" spans="1:8" x14ac:dyDescent="0.25">
      <c r="A135" s="5" t="s">
        <v>3</v>
      </c>
      <c r="B135" s="5" t="s">
        <v>3</v>
      </c>
      <c r="C135" s="5" t="s">
        <v>1063</v>
      </c>
      <c r="D135" s="6">
        <v>161.32</v>
      </c>
      <c r="E135" s="6">
        <v>0</v>
      </c>
      <c r="F135" s="6">
        <f>D135+E135</f>
        <v>161.32</v>
      </c>
      <c r="G135" s="5" t="s">
        <v>3</v>
      </c>
      <c r="H135" s="5" t="s">
        <v>3</v>
      </c>
    </row>
    <row r="136" spans="1:8" x14ac:dyDescent="0.25">
      <c r="A136" s="24" t="s">
        <v>398</v>
      </c>
      <c r="B136" s="24" t="s">
        <v>399</v>
      </c>
      <c r="C136" s="24" t="s">
        <v>499</v>
      </c>
      <c r="D136" s="27">
        <f>SUM(D137:D137)</f>
        <v>33</v>
      </c>
      <c r="E136" s="27">
        <f>SUM(E137:E137)</f>
        <v>0</v>
      </c>
      <c r="F136" s="27">
        <f>SUM(F137:F137)</f>
        <v>33</v>
      </c>
      <c r="G136" s="24" t="s">
        <v>3</v>
      </c>
      <c r="H136" s="24" t="s">
        <v>3</v>
      </c>
    </row>
    <row r="137" spans="1:8" x14ac:dyDescent="0.25">
      <c r="A137" s="5" t="s">
        <v>3</v>
      </c>
      <c r="B137" s="5" t="s">
        <v>3</v>
      </c>
      <c r="C137" s="5" t="s">
        <v>1064</v>
      </c>
      <c r="D137" s="6">
        <v>33</v>
      </c>
      <c r="E137" s="6">
        <v>0</v>
      </c>
      <c r="F137" s="6">
        <f>D137+E137</f>
        <v>33</v>
      </c>
      <c r="G137" s="5" t="s">
        <v>3</v>
      </c>
      <c r="H137" s="5" t="s">
        <v>3</v>
      </c>
    </row>
    <row r="138" spans="1:8" x14ac:dyDescent="0.25">
      <c r="A138" s="24" t="s">
        <v>400</v>
      </c>
      <c r="B138" s="24" t="s">
        <v>401</v>
      </c>
      <c r="C138" s="24" t="s">
        <v>499</v>
      </c>
      <c r="D138" s="27">
        <f>SUM(D139:D141)</f>
        <v>3207.72</v>
      </c>
      <c r="E138" s="27">
        <f>SUM(E139:E141)</f>
        <v>0</v>
      </c>
      <c r="F138" s="27">
        <f>SUM(F139:F141)</f>
        <v>3207.72</v>
      </c>
      <c r="G138" s="24" t="s">
        <v>3</v>
      </c>
      <c r="H138" s="24" t="s">
        <v>3</v>
      </c>
    </row>
    <row r="139" spans="1:8" x14ac:dyDescent="0.25">
      <c r="A139" s="5" t="s">
        <v>3</v>
      </c>
      <c r="B139" s="5" t="s">
        <v>3</v>
      </c>
      <c r="C139" s="5" t="s">
        <v>1065</v>
      </c>
      <c r="D139" s="6">
        <v>1877.53</v>
      </c>
      <c r="E139" s="6">
        <v>0</v>
      </c>
      <c r="F139" s="6">
        <f>D139+E139</f>
        <v>1877.53</v>
      </c>
      <c r="G139" s="5" t="s">
        <v>3</v>
      </c>
      <c r="H139" s="5" t="s">
        <v>3</v>
      </c>
    </row>
    <row r="140" spans="1:8" x14ac:dyDescent="0.25">
      <c r="A140" s="5" t="s">
        <v>3</v>
      </c>
      <c r="B140" s="5" t="s">
        <v>3</v>
      </c>
      <c r="C140" s="5" t="s">
        <v>624</v>
      </c>
      <c r="D140" s="6">
        <v>692.19</v>
      </c>
      <c r="E140" s="6">
        <v>0</v>
      </c>
      <c r="F140" s="6">
        <f>D140+E140</f>
        <v>692.19</v>
      </c>
      <c r="G140" s="5" t="s">
        <v>3</v>
      </c>
      <c r="H140" s="5" t="s">
        <v>3</v>
      </c>
    </row>
    <row r="141" spans="1:8" x14ac:dyDescent="0.25">
      <c r="A141" s="5" t="s">
        <v>3</v>
      </c>
      <c r="B141" s="5" t="s">
        <v>3</v>
      </c>
      <c r="C141" s="5" t="s">
        <v>1066</v>
      </c>
      <c r="D141" s="6">
        <v>638</v>
      </c>
      <c r="E141" s="6">
        <v>0</v>
      </c>
      <c r="F141" s="6">
        <f>D141+E141</f>
        <v>638</v>
      </c>
      <c r="G141" s="5" t="s">
        <v>3</v>
      </c>
      <c r="H141" s="5" t="s">
        <v>3</v>
      </c>
    </row>
    <row r="142" spans="1:8" x14ac:dyDescent="0.25">
      <c r="A142" s="24" t="s">
        <v>402</v>
      </c>
      <c r="B142" s="24" t="s">
        <v>403</v>
      </c>
      <c r="C142" s="24" t="s">
        <v>499</v>
      </c>
      <c r="D142" s="27">
        <f>SUM(D143:D143)</f>
        <v>470</v>
      </c>
      <c r="E142" s="27">
        <f>SUM(E143:E143)</f>
        <v>0</v>
      </c>
      <c r="F142" s="27">
        <f>SUM(F143:F143)</f>
        <v>470</v>
      </c>
      <c r="G142" s="24" t="s">
        <v>3</v>
      </c>
      <c r="H142" s="24" t="s">
        <v>3</v>
      </c>
    </row>
    <row r="143" spans="1:8" x14ac:dyDescent="0.25">
      <c r="A143" s="5" t="s">
        <v>3</v>
      </c>
      <c r="B143" s="5" t="s">
        <v>3</v>
      </c>
      <c r="C143" s="5" t="s">
        <v>1067</v>
      </c>
      <c r="D143" s="6">
        <v>470</v>
      </c>
      <c r="E143" s="6">
        <v>0</v>
      </c>
      <c r="F143" s="6">
        <f>D143+E143</f>
        <v>470</v>
      </c>
      <c r="G143" s="5" t="s">
        <v>3</v>
      </c>
      <c r="H143" s="5" t="s">
        <v>3</v>
      </c>
    </row>
    <row r="144" spans="1:8" x14ac:dyDescent="0.25">
      <c r="A144" s="24" t="s">
        <v>406</v>
      </c>
      <c r="B144" s="24" t="s">
        <v>407</v>
      </c>
      <c r="C144" s="24" t="s">
        <v>499</v>
      </c>
      <c r="D144" s="27">
        <f>SUM(D145:D146)</f>
        <v>784.95</v>
      </c>
      <c r="E144" s="27">
        <f>SUM(E145:E146)</f>
        <v>0</v>
      </c>
      <c r="F144" s="27">
        <f>SUM(F145:F146)</f>
        <v>784.95</v>
      </c>
      <c r="G144" s="24" t="s">
        <v>3</v>
      </c>
      <c r="H144" s="24" t="s">
        <v>3</v>
      </c>
    </row>
    <row r="145" spans="1:8" x14ac:dyDescent="0.25">
      <c r="A145" s="5" t="s">
        <v>3</v>
      </c>
      <c r="B145" s="5" t="s">
        <v>3</v>
      </c>
      <c r="C145" s="5" t="s">
        <v>635</v>
      </c>
      <c r="D145" s="6">
        <v>716.99</v>
      </c>
      <c r="E145" s="6">
        <v>0</v>
      </c>
      <c r="F145" s="6">
        <f>D145+E145</f>
        <v>716.99</v>
      </c>
      <c r="G145" s="5" t="s">
        <v>3</v>
      </c>
      <c r="H145" s="5" t="s">
        <v>3</v>
      </c>
    </row>
    <row r="146" spans="1:8" x14ac:dyDescent="0.25">
      <c r="A146" s="5" t="s">
        <v>3</v>
      </c>
      <c r="B146" s="5" t="s">
        <v>3</v>
      </c>
      <c r="C146" s="5" t="s">
        <v>627</v>
      </c>
      <c r="D146" s="6">
        <v>67.96</v>
      </c>
      <c r="E146" s="6">
        <v>0</v>
      </c>
      <c r="F146" s="6">
        <f>D146+E146</f>
        <v>67.96</v>
      </c>
      <c r="G146" s="5" t="s">
        <v>3</v>
      </c>
      <c r="H146" s="5" t="s">
        <v>3</v>
      </c>
    </row>
    <row r="147" spans="1:8" x14ac:dyDescent="0.25">
      <c r="A147" s="24" t="s">
        <v>408</v>
      </c>
      <c r="B147" s="24" t="s">
        <v>409</v>
      </c>
      <c r="C147" s="24" t="s">
        <v>499</v>
      </c>
      <c r="D147" s="27">
        <f>SUM(D148:D148)</f>
        <v>6</v>
      </c>
      <c r="E147" s="27">
        <f>SUM(E148:E148)</f>
        <v>0</v>
      </c>
      <c r="F147" s="27">
        <f>SUM(F148:F148)</f>
        <v>6</v>
      </c>
      <c r="G147" s="24" t="s">
        <v>3</v>
      </c>
      <c r="H147" s="24" t="s">
        <v>3</v>
      </c>
    </row>
    <row r="148" spans="1:8" x14ac:dyDescent="0.25">
      <c r="A148" s="5" t="s">
        <v>3</v>
      </c>
      <c r="B148" s="5" t="s">
        <v>3</v>
      </c>
      <c r="C148" s="5" t="s">
        <v>1068</v>
      </c>
      <c r="D148" s="6">
        <v>6</v>
      </c>
      <c r="E148" s="6">
        <v>0</v>
      </c>
      <c r="F148" s="6">
        <f>D148+E148</f>
        <v>6</v>
      </c>
      <c r="G148" s="5" t="s">
        <v>3</v>
      </c>
      <c r="H148" s="5" t="s">
        <v>3</v>
      </c>
    </row>
    <row r="149" spans="1:8" x14ac:dyDescent="0.25">
      <c r="A149" s="24" t="s">
        <v>410</v>
      </c>
      <c r="B149" s="24" t="s">
        <v>411</v>
      </c>
      <c r="C149" s="24" t="s">
        <v>499</v>
      </c>
      <c r="D149" s="27">
        <f>SUM(D150:D153)</f>
        <v>407.67</v>
      </c>
      <c r="E149" s="27">
        <f>SUM(E150:E153)</f>
        <v>0</v>
      </c>
      <c r="F149" s="27">
        <f>SUM(F150:F153)</f>
        <v>407.67</v>
      </c>
      <c r="G149" s="24" t="s">
        <v>3</v>
      </c>
      <c r="H149" s="24" t="s">
        <v>3</v>
      </c>
    </row>
    <row r="150" spans="1:8" x14ac:dyDescent="0.25">
      <c r="A150" s="5" t="s">
        <v>3</v>
      </c>
      <c r="B150" s="5" t="s">
        <v>3</v>
      </c>
      <c r="C150" s="5" t="s">
        <v>1069</v>
      </c>
      <c r="D150" s="6">
        <v>302.46</v>
      </c>
      <c r="E150" s="6">
        <v>0</v>
      </c>
      <c r="F150" s="6">
        <f>D150+E150</f>
        <v>302.46</v>
      </c>
      <c r="G150" s="5" t="s">
        <v>3</v>
      </c>
      <c r="H150" s="5" t="s">
        <v>3</v>
      </c>
    </row>
    <row r="151" spans="1:8" x14ac:dyDescent="0.25">
      <c r="A151" s="5" t="s">
        <v>3</v>
      </c>
      <c r="B151" s="5" t="s">
        <v>3</v>
      </c>
      <c r="C151" s="5" t="s">
        <v>1070</v>
      </c>
      <c r="D151" s="6">
        <v>49.98</v>
      </c>
      <c r="E151" s="6">
        <v>0</v>
      </c>
      <c r="F151" s="6">
        <f>D151+E151</f>
        <v>49.98</v>
      </c>
      <c r="G151" s="5" t="s">
        <v>3</v>
      </c>
      <c r="H151" s="5" t="s">
        <v>3</v>
      </c>
    </row>
    <row r="152" spans="1:8" x14ac:dyDescent="0.25">
      <c r="A152" s="5" t="s">
        <v>3</v>
      </c>
      <c r="B152" s="5" t="s">
        <v>3</v>
      </c>
      <c r="C152" s="5" t="s">
        <v>1071</v>
      </c>
      <c r="D152" s="6">
        <v>33.98</v>
      </c>
      <c r="E152" s="6">
        <v>0</v>
      </c>
      <c r="F152" s="6">
        <f>D152+E152</f>
        <v>33.98</v>
      </c>
      <c r="G152" s="5" t="s">
        <v>3</v>
      </c>
      <c r="H152" s="5" t="s">
        <v>3</v>
      </c>
    </row>
    <row r="153" spans="1:8" x14ac:dyDescent="0.25">
      <c r="A153" s="5" t="s">
        <v>3</v>
      </c>
      <c r="B153" s="5" t="s">
        <v>3</v>
      </c>
      <c r="C153" s="5" t="s">
        <v>1072</v>
      </c>
      <c r="D153" s="6">
        <v>21.25</v>
      </c>
      <c r="E153" s="6">
        <v>0</v>
      </c>
      <c r="F153" s="6">
        <f>D153+E153</f>
        <v>21.25</v>
      </c>
      <c r="G153" s="5" t="s">
        <v>3</v>
      </c>
      <c r="H153" s="5" t="s">
        <v>3</v>
      </c>
    </row>
    <row r="154" spans="1:8" x14ac:dyDescent="0.25">
      <c r="A154" s="24" t="s">
        <v>412</v>
      </c>
      <c r="B154" s="24" t="s">
        <v>413</v>
      </c>
      <c r="C154" s="24" t="s">
        <v>499</v>
      </c>
      <c r="D154" s="27">
        <f>SUM(D155:D156)</f>
        <v>240.66</v>
      </c>
      <c r="E154" s="27">
        <f>SUM(E155:E156)</f>
        <v>0</v>
      </c>
      <c r="F154" s="27">
        <f>SUM(F155:F156)</f>
        <v>240.66</v>
      </c>
      <c r="G154" s="24" t="s">
        <v>3</v>
      </c>
      <c r="H154" s="24" t="s">
        <v>3</v>
      </c>
    </row>
    <row r="155" spans="1:8" x14ac:dyDescent="0.25">
      <c r="A155" s="5" t="s">
        <v>3</v>
      </c>
      <c r="B155" s="5" t="s">
        <v>3</v>
      </c>
      <c r="C155" s="5" t="s">
        <v>1073</v>
      </c>
      <c r="D155" s="6">
        <v>193.3</v>
      </c>
      <c r="E155" s="6">
        <v>0</v>
      </c>
      <c r="F155" s="6">
        <f>D155+E155</f>
        <v>193.3</v>
      </c>
      <c r="G155" s="5" t="s">
        <v>3</v>
      </c>
      <c r="H155" s="5" t="s">
        <v>3</v>
      </c>
    </row>
    <row r="156" spans="1:8" x14ac:dyDescent="0.25">
      <c r="A156" s="5" t="s">
        <v>3</v>
      </c>
      <c r="B156" s="5" t="s">
        <v>3</v>
      </c>
      <c r="C156" s="5" t="s">
        <v>1074</v>
      </c>
      <c r="D156" s="6">
        <v>47.36</v>
      </c>
      <c r="E156" s="6">
        <v>0</v>
      </c>
      <c r="F156" s="6">
        <f>D156+E156</f>
        <v>47.36</v>
      </c>
      <c r="G156" s="5" t="s">
        <v>3</v>
      </c>
      <c r="H156" s="5" t="s">
        <v>3</v>
      </c>
    </row>
    <row r="157" spans="1:8" x14ac:dyDescent="0.25">
      <c r="A157" s="24" t="s">
        <v>414</v>
      </c>
      <c r="B157" s="24" t="s">
        <v>415</v>
      </c>
      <c r="C157" s="24" t="s">
        <v>499</v>
      </c>
      <c r="D157" s="27">
        <f>SUM(D158:D159)</f>
        <v>776.79</v>
      </c>
      <c r="E157" s="27">
        <f>SUM(E158:E159)</f>
        <v>0</v>
      </c>
      <c r="F157" s="27">
        <f>SUM(F158:F159)</f>
        <v>776.79</v>
      </c>
      <c r="G157" s="24" t="s">
        <v>3</v>
      </c>
      <c r="H157" s="24" t="s">
        <v>3</v>
      </c>
    </row>
    <row r="158" spans="1:8" x14ac:dyDescent="0.25">
      <c r="A158" s="5" t="s">
        <v>3</v>
      </c>
      <c r="B158" s="5" t="s">
        <v>3</v>
      </c>
      <c r="C158" s="5" t="s">
        <v>1075</v>
      </c>
      <c r="D158" s="6">
        <v>390</v>
      </c>
      <c r="E158" s="6">
        <v>0</v>
      </c>
      <c r="F158" s="6">
        <f>D158+E158</f>
        <v>390</v>
      </c>
      <c r="G158" s="5" t="s">
        <v>3</v>
      </c>
      <c r="H158" s="5" t="s">
        <v>3</v>
      </c>
    </row>
    <row r="159" spans="1:8" x14ac:dyDescent="0.25">
      <c r="A159" s="5" t="s">
        <v>3</v>
      </c>
      <c r="B159" s="5" t="s">
        <v>3</v>
      </c>
      <c r="C159" s="5" t="s">
        <v>598</v>
      </c>
      <c r="D159" s="6">
        <v>386.79</v>
      </c>
      <c r="E159" s="6">
        <v>0</v>
      </c>
      <c r="F159" s="6">
        <f>D159+E159</f>
        <v>386.79</v>
      </c>
      <c r="G159" s="5" t="s">
        <v>3</v>
      </c>
      <c r="H159" s="5" t="s">
        <v>3</v>
      </c>
    </row>
    <row r="160" spans="1:8" x14ac:dyDescent="0.25">
      <c r="A160" s="24" t="s">
        <v>422</v>
      </c>
      <c r="B160" s="24" t="s">
        <v>423</v>
      </c>
      <c r="C160" s="24" t="s">
        <v>499</v>
      </c>
      <c r="D160" s="27">
        <f>SUM(D161:D164)</f>
        <v>7464.74</v>
      </c>
      <c r="E160" s="27">
        <f>SUM(E161:E164)</f>
        <v>0</v>
      </c>
      <c r="F160" s="27">
        <f>SUM(F161:F164)</f>
        <v>7464.74</v>
      </c>
      <c r="G160" s="24" t="s">
        <v>3</v>
      </c>
      <c r="H160" s="24" t="s">
        <v>3</v>
      </c>
    </row>
    <row r="161" spans="1:8" x14ac:dyDescent="0.25">
      <c r="A161" s="5" t="s">
        <v>3</v>
      </c>
      <c r="B161" s="5" t="s">
        <v>3</v>
      </c>
      <c r="C161" s="5" t="s">
        <v>1076</v>
      </c>
      <c r="D161" s="6">
        <v>5000</v>
      </c>
      <c r="E161" s="6">
        <v>0</v>
      </c>
      <c r="F161" s="6">
        <f>D161+E161</f>
        <v>5000</v>
      </c>
      <c r="G161" s="5" t="s">
        <v>3</v>
      </c>
      <c r="H161" s="5" t="s">
        <v>3</v>
      </c>
    </row>
    <row r="162" spans="1:8" x14ac:dyDescent="0.25">
      <c r="A162" s="5" t="s">
        <v>3</v>
      </c>
      <c r="B162" s="5" t="s">
        <v>3</v>
      </c>
      <c r="C162" s="5" t="s">
        <v>655</v>
      </c>
      <c r="D162" s="6">
        <v>1800</v>
      </c>
      <c r="E162" s="6">
        <v>0</v>
      </c>
      <c r="F162" s="6">
        <f>D162+E162</f>
        <v>1800</v>
      </c>
      <c r="G162" s="5" t="s">
        <v>3</v>
      </c>
      <c r="H162" s="5" t="s">
        <v>3</v>
      </c>
    </row>
    <row r="163" spans="1:8" x14ac:dyDescent="0.25">
      <c r="A163" s="5" t="s">
        <v>3</v>
      </c>
      <c r="B163" s="5" t="s">
        <v>3</v>
      </c>
      <c r="C163" s="5" t="s">
        <v>1077</v>
      </c>
      <c r="D163" s="6">
        <v>404.74</v>
      </c>
      <c r="E163" s="6">
        <v>0</v>
      </c>
      <c r="F163" s="6">
        <f>D163+E163</f>
        <v>404.74</v>
      </c>
      <c r="G163" s="5" t="s">
        <v>3</v>
      </c>
      <c r="H163" s="5" t="s">
        <v>3</v>
      </c>
    </row>
    <row r="164" spans="1:8" x14ac:dyDescent="0.25">
      <c r="A164" s="5" t="s">
        <v>3</v>
      </c>
      <c r="B164" s="5" t="s">
        <v>3</v>
      </c>
      <c r="C164" s="5" t="s">
        <v>1078</v>
      </c>
      <c r="D164" s="6">
        <v>260</v>
      </c>
      <c r="E164" s="6">
        <v>0</v>
      </c>
      <c r="F164" s="6">
        <f>D164+E164</f>
        <v>260</v>
      </c>
      <c r="G164" s="5" t="s">
        <v>3</v>
      </c>
      <c r="H164" s="5" t="s">
        <v>3</v>
      </c>
    </row>
    <row r="165" spans="1:8" x14ac:dyDescent="0.25">
      <c r="A165" s="24" t="s">
        <v>424</v>
      </c>
      <c r="B165" s="24" t="s">
        <v>425</v>
      </c>
      <c r="C165" s="24" t="s">
        <v>499</v>
      </c>
      <c r="D165" s="27">
        <f>SUM(D166:D166)</f>
        <v>832108.38</v>
      </c>
      <c r="E165" s="27">
        <f>SUM(E166:E166)</f>
        <v>0</v>
      </c>
      <c r="F165" s="27">
        <f>SUM(F166:F166)</f>
        <v>832108.38</v>
      </c>
      <c r="G165" s="24" t="s">
        <v>3</v>
      </c>
      <c r="H165" s="24" t="s">
        <v>3</v>
      </c>
    </row>
    <row r="166" spans="1:8" x14ac:dyDescent="0.25">
      <c r="A166" s="5" t="s">
        <v>3</v>
      </c>
      <c r="B166" s="5" t="s">
        <v>3</v>
      </c>
      <c r="C166" s="5" t="s">
        <v>657</v>
      </c>
      <c r="D166" s="6">
        <v>832108.38</v>
      </c>
      <c r="E166" s="6">
        <v>0</v>
      </c>
      <c r="F166" s="6">
        <f>D166+E166</f>
        <v>832108.38</v>
      </c>
      <c r="G166" s="5" t="s">
        <v>3</v>
      </c>
      <c r="H166" s="5" t="s">
        <v>3</v>
      </c>
    </row>
    <row r="167" spans="1:8" x14ac:dyDescent="0.25">
      <c r="A167" s="24" t="s">
        <v>426</v>
      </c>
      <c r="B167" s="24" t="s">
        <v>427</v>
      </c>
      <c r="C167" s="24" t="s">
        <v>499</v>
      </c>
      <c r="D167" s="27">
        <f>SUM(D168:D168)</f>
        <v>184568.47</v>
      </c>
      <c r="E167" s="27">
        <f>SUM(E168:E168)</f>
        <v>0</v>
      </c>
      <c r="F167" s="27">
        <f>SUM(F168:F168)</f>
        <v>184568.47</v>
      </c>
      <c r="G167" s="24" t="s">
        <v>3</v>
      </c>
      <c r="H167" s="24" t="s">
        <v>3</v>
      </c>
    </row>
    <row r="168" spans="1:8" x14ac:dyDescent="0.25">
      <c r="A168" s="5" t="s">
        <v>3</v>
      </c>
      <c r="B168" s="5" t="s">
        <v>3</v>
      </c>
      <c r="C168" s="5" t="s">
        <v>658</v>
      </c>
      <c r="D168" s="6">
        <v>184568.47</v>
      </c>
      <c r="E168" s="6">
        <v>0</v>
      </c>
      <c r="F168" s="6">
        <f>D168+E168</f>
        <v>184568.47</v>
      </c>
      <c r="G168" s="5" t="s">
        <v>3</v>
      </c>
      <c r="H168" s="5" t="s">
        <v>3</v>
      </c>
    </row>
    <row r="169" spans="1:8" x14ac:dyDescent="0.25">
      <c r="A169" s="24" t="s">
        <v>430</v>
      </c>
      <c r="B169" s="24" t="s">
        <v>431</v>
      </c>
      <c r="C169" s="24" t="s">
        <v>499</v>
      </c>
      <c r="D169" s="27">
        <f>SUM(D170:D181)</f>
        <v>65142</v>
      </c>
      <c r="E169" s="27">
        <f>SUM(E170:E181)</f>
        <v>-1600</v>
      </c>
      <c r="F169" s="27">
        <f>SUM(F170:F181)</f>
        <v>63542</v>
      </c>
      <c r="G169" s="24" t="s">
        <v>3</v>
      </c>
      <c r="H169" s="24" t="s">
        <v>3</v>
      </c>
    </row>
    <row r="170" spans="1:8" x14ac:dyDescent="0.25">
      <c r="A170" s="5" t="s">
        <v>3</v>
      </c>
      <c r="B170" s="5" t="s">
        <v>3</v>
      </c>
      <c r="C170" s="5" t="s">
        <v>171</v>
      </c>
      <c r="D170" s="6">
        <v>800</v>
      </c>
      <c r="E170" s="28">
        <v>-800</v>
      </c>
      <c r="F170" s="6">
        <f>D170+E170</f>
        <v>0</v>
      </c>
      <c r="G170" s="22" t="s">
        <v>1079</v>
      </c>
      <c r="H170" s="5" t="s">
        <v>3</v>
      </c>
    </row>
    <row r="171" spans="1:8" x14ac:dyDescent="0.25">
      <c r="A171" s="5" t="s">
        <v>3</v>
      </c>
      <c r="B171" s="5" t="s">
        <v>3</v>
      </c>
      <c r="C171" s="5" t="s">
        <v>173</v>
      </c>
      <c r="D171" s="6">
        <v>800</v>
      </c>
      <c r="E171" s="28">
        <v>-800</v>
      </c>
      <c r="F171" s="6">
        <f>D171+E171</f>
        <v>0</v>
      </c>
      <c r="G171" s="22" t="s">
        <v>1080</v>
      </c>
      <c r="H171" s="5" t="s">
        <v>3</v>
      </c>
    </row>
    <row r="172" spans="1:8" x14ac:dyDescent="0.25">
      <c r="A172" s="5" t="s">
        <v>3</v>
      </c>
      <c r="B172" s="5" t="s">
        <v>3</v>
      </c>
      <c r="C172" s="5" t="s">
        <v>90</v>
      </c>
      <c r="D172" s="6">
        <v>32500</v>
      </c>
      <c r="E172" s="6">
        <v>0</v>
      </c>
      <c r="F172" s="6">
        <f>D172+E172</f>
        <v>32500</v>
      </c>
      <c r="G172" s="5" t="s">
        <v>3</v>
      </c>
      <c r="H172" s="5" t="s">
        <v>3</v>
      </c>
    </row>
    <row r="173" spans="1:8" x14ac:dyDescent="0.25">
      <c r="A173" s="5" t="s">
        <v>3</v>
      </c>
      <c r="B173" s="5" t="s">
        <v>3</v>
      </c>
      <c r="C173" s="5" t="s">
        <v>55</v>
      </c>
      <c r="D173" s="6">
        <v>20000</v>
      </c>
      <c r="E173" s="6">
        <v>0</v>
      </c>
      <c r="F173" s="6">
        <f>D173+E173</f>
        <v>20000</v>
      </c>
      <c r="G173" s="5" t="s">
        <v>3</v>
      </c>
      <c r="H173" s="5" t="s">
        <v>3</v>
      </c>
    </row>
    <row r="174" spans="1:8" x14ac:dyDescent="0.25">
      <c r="A174" s="5" t="s">
        <v>3</v>
      </c>
      <c r="B174" s="5" t="s">
        <v>3</v>
      </c>
      <c r="C174" s="5" t="s">
        <v>58</v>
      </c>
      <c r="D174" s="6">
        <v>5000</v>
      </c>
      <c r="E174" s="6">
        <v>0</v>
      </c>
      <c r="F174" s="6">
        <f>D174+E174</f>
        <v>5000</v>
      </c>
      <c r="G174" s="5" t="s">
        <v>3</v>
      </c>
      <c r="H174" s="5" t="s">
        <v>3</v>
      </c>
    </row>
    <row r="175" spans="1:8" x14ac:dyDescent="0.25">
      <c r="A175" s="5" t="s">
        <v>3</v>
      </c>
      <c r="B175" s="5" t="s">
        <v>3</v>
      </c>
      <c r="C175" s="5" t="s">
        <v>60</v>
      </c>
      <c r="D175" s="6">
        <v>2000</v>
      </c>
      <c r="E175" s="6">
        <v>0</v>
      </c>
      <c r="F175" s="6">
        <f>D175+E175</f>
        <v>2000</v>
      </c>
      <c r="G175" s="5" t="s">
        <v>3</v>
      </c>
      <c r="H175" s="5" t="s">
        <v>3</v>
      </c>
    </row>
    <row r="176" spans="1:8" x14ac:dyDescent="0.25">
      <c r="A176" s="5" t="s">
        <v>3</v>
      </c>
      <c r="B176" s="5" t="s">
        <v>3</v>
      </c>
      <c r="C176" s="5" t="s">
        <v>64</v>
      </c>
      <c r="D176" s="6">
        <v>1550</v>
      </c>
      <c r="E176" s="6">
        <v>0</v>
      </c>
      <c r="F176" s="6">
        <f>D176+E176</f>
        <v>1550</v>
      </c>
      <c r="G176" s="5" t="s">
        <v>3</v>
      </c>
      <c r="H176" s="5" t="s">
        <v>3</v>
      </c>
    </row>
    <row r="177" spans="1:8" x14ac:dyDescent="0.25">
      <c r="A177" s="5" t="s">
        <v>3</v>
      </c>
      <c r="B177" s="5" t="s">
        <v>3</v>
      </c>
      <c r="C177" s="5" t="s">
        <v>62</v>
      </c>
      <c r="D177" s="6">
        <v>1000</v>
      </c>
      <c r="E177" s="6">
        <v>0</v>
      </c>
      <c r="F177" s="6">
        <f>D177+E177</f>
        <v>1000</v>
      </c>
      <c r="G177" s="5" t="s">
        <v>3</v>
      </c>
      <c r="H177" s="5" t="s">
        <v>3</v>
      </c>
    </row>
    <row r="178" spans="1:8" x14ac:dyDescent="0.25">
      <c r="A178" s="5" t="s">
        <v>3</v>
      </c>
      <c r="B178" s="5" t="s">
        <v>3</v>
      </c>
      <c r="C178" s="5" t="s">
        <v>68</v>
      </c>
      <c r="D178" s="6">
        <v>700</v>
      </c>
      <c r="E178" s="6">
        <v>0</v>
      </c>
      <c r="F178" s="6">
        <f>D178+E178</f>
        <v>700</v>
      </c>
      <c r="G178" s="5" t="s">
        <v>3</v>
      </c>
      <c r="H178" s="5" t="s">
        <v>3</v>
      </c>
    </row>
    <row r="179" spans="1:8" x14ac:dyDescent="0.25">
      <c r="A179" s="5" t="s">
        <v>3</v>
      </c>
      <c r="B179" s="5" t="s">
        <v>3</v>
      </c>
      <c r="C179" s="5" t="s">
        <v>70</v>
      </c>
      <c r="D179" s="6">
        <v>582</v>
      </c>
      <c r="E179" s="6">
        <v>0</v>
      </c>
      <c r="F179" s="6">
        <f>D179+E179</f>
        <v>582</v>
      </c>
      <c r="G179" s="5" t="s">
        <v>3</v>
      </c>
      <c r="H179" s="5" t="s">
        <v>3</v>
      </c>
    </row>
    <row r="180" spans="1:8" x14ac:dyDescent="0.25">
      <c r="A180" s="5" t="s">
        <v>3</v>
      </c>
      <c r="B180" s="5" t="s">
        <v>3</v>
      </c>
      <c r="C180" s="5" t="s">
        <v>846</v>
      </c>
      <c r="D180" s="6">
        <v>160</v>
      </c>
      <c r="E180" s="6">
        <v>0</v>
      </c>
      <c r="F180" s="6">
        <f>D180+E180</f>
        <v>160</v>
      </c>
      <c r="G180" s="5" t="s">
        <v>3</v>
      </c>
      <c r="H180" s="5" t="s">
        <v>3</v>
      </c>
    </row>
    <row r="181" spans="1:8" x14ac:dyDescent="0.25">
      <c r="A181" s="5" t="s">
        <v>3</v>
      </c>
      <c r="B181" s="5" t="s">
        <v>3</v>
      </c>
      <c r="C181" s="5" t="s">
        <v>1081</v>
      </c>
      <c r="D181" s="6">
        <v>50</v>
      </c>
      <c r="E181" s="6">
        <v>0</v>
      </c>
      <c r="F181" s="6">
        <f>D181+E181</f>
        <v>50</v>
      </c>
      <c r="G181" s="5" t="s">
        <v>3</v>
      </c>
      <c r="H181" s="5" t="s">
        <v>3</v>
      </c>
    </row>
    <row r="182" spans="1:8" x14ac:dyDescent="0.25">
      <c r="A182" s="24" t="s">
        <v>432</v>
      </c>
      <c r="B182" s="24" t="s">
        <v>433</v>
      </c>
      <c r="C182" s="24" t="s">
        <v>499</v>
      </c>
      <c r="D182" s="27">
        <f>SUM(D183:D183)</f>
        <v>0</v>
      </c>
      <c r="E182" s="27">
        <f>SUM(E183:E183)</f>
        <v>49131.91</v>
      </c>
      <c r="F182" s="27">
        <f>SUM(F183:F183)</f>
        <v>49131.91</v>
      </c>
      <c r="G182" s="24" t="s">
        <v>3</v>
      </c>
      <c r="H182" s="24" t="s">
        <v>3</v>
      </c>
    </row>
    <row r="183" spans="1:8" x14ac:dyDescent="0.25">
      <c r="A183" s="5" t="s">
        <v>3</v>
      </c>
      <c r="B183" s="5" t="s">
        <v>3</v>
      </c>
      <c r="C183" s="5" t="s">
        <v>182</v>
      </c>
      <c r="D183" s="6">
        <v>0</v>
      </c>
      <c r="E183" s="29">
        <v>49131.91</v>
      </c>
      <c r="F183" s="6">
        <f>D183+E183</f>
        <v>49131.91</v>
      </c>
      <c r="G183" s="23" t="s">
        <v>1082</v>
      </c>
      <c r="H183" s="5" t="s">
        <v>3</v>
      </c>
    </row>
    <row r="184" spans="1:8" x14ac:dyDescent="0.25">
      <c r="A184" s="24" t="s">
        <v>436</v>
      </c>
      <c r="B184" s="24" t="s">
        <v>437</v>
      </c>
      <c r="C184" s="24" t="s">
        <v>499</v>
      </c>
      <c r="D184" s="27">
        <f>SUM(D185:D185)</f>
        <v>51.21</v>
      </c>
      <c r="E184" s="27">
        <f>SUM(E185:E185)</f>
        <v>0</v>
      </c>
      <c r="F184" s="27">
        <f>SUM(F185:F185)</f>
        <v>51.21</v>
      </c>
      <c r="G184" s="24" t="s">
        <v>3</v>
      </c>
      <c r="H184" s="24" t="s">
        <v>3</v>
      </c>
    </row>
    <row r="185" spans="1:8" x14ac:dyDescent="0.25">
      <c r="A185" s="5" t="s">
        <v>3</v>
      </c>
      <c r="B185" s="5" t="s">
        <v>3</v>
      </c>
      <c r="C185" s="5" t="s">
        <v>1083</v>
      </c>
      <c r="D185" s="6">
        <v>51.21</v>
      </c>
      <c r="E185" s="6">
        <v>0</v>
      </c>
      <c r="F185" s="6">
        <f>D185+E185</f>
        <v>51.21</v>
      </c>
      <c r="G185" s="5" t="s">
        <v>3</v>
      </c>
      <c r="H185" s="5" t="s">
        <v>3</v>
      </c>
    </row>
    <row r="186" spans="1:8" x14ac:dyDescent="0.25">
      <c r="A186" s="24" t="s">
        <v>438</v>
      </c>
      <c r="B186" s="24" t="s">
        <v>439</v>
      </c>
      <c r="C186" s="24" t="s">
        <v>499</v>
      </c>
      <c r="D186" s="27">
        <f>SUM(D187:D187)</f>
        <v>197.5</v>
      </c>
      <c r="E186" s="27">
        <f>SUM(E187:E187)</f>
        <v>0</v>
      </c>
      <c r="F186" s="27">
        <f>SUM(F187:F187)</f>
        <v>197.5</v>
      </c>
      <c r="G186" s="24" t="s">
        <v>3</v>
      </c>
      <c r="H186" s="24" t="s">
        <v>3</v>
      </c>
    </row>
    <row r="187" spans="1:8" x14ac:dyDescent="0.25">
      <c r="A187" s="5" t="s">
        <v>3</v>
      </c>
      <c r="B187" s="5" t="s">
        <v>3</v>
      </c>
      <c r="C187" s="5" t="s">
        <v>1084</v>
      </c>
      <c r="D187" s="6">
        <v>197.5</v>
      </c>
      <c r="E187" s="6">
        <v>0</v>
      </c>
      <c r="F187" s="6">
        <f>D187+E187</f>
        <v>197.5</v>
      </c>
      <c r="G187" s="5" t="s">
        <v>3</v>
      </c>
      <c r="H187" s="5" t="s">
        <v>3</v>
      </c>
    </row>
    <row r="188" spans="1:8" x14ac:dyDescent="0.25">
      <c r="A188" s="24" t="s">
        <v>446</v>
      </c>
      <c r="B188" s="24" t="s">
        <v>447</v>
      </c>
      <c r="C188" s="24" t="s">
        <v>499</v>
      </c>
      <c r="D188" s="27">
        <f>SUM(D189:D189)</f>
        <v>260</v>
      </c>
      <c r="E188" s="27">
        <f>SUM(E189:E189)</f>
        <v>0</v>
      </c>
      <c r="F188" s="27">
        <f>SUM(F189:F189)</f>
        <v>260</v>
      </c>
      <c r="G188" s="24" t="s">
        <v>3</v>
      </c>
      <c r="H188" s="24" t="s">
        <v>3</v>
      </c>
    </row>
    <row r="189" spans="1:8" x14ac:dyDescent="0.25">
      <c r="A189" s="5" t="s">
        <v>3</v>
      </c>
      <c r="B189" s="5" t="s">
        <v>3</v>
      </c>
      <c r="C189" s="5" t="s">
        <v>1085</v>
      </c>
      <c r="D189" s="6">
        <v>260</v>
      </c>
      <c r="E189" s="6">
        <v>0</v>
      </c>
      <c r="F189" s="6">
        <f>D189+E189</f>
        <v>260</v>
      </c>
      <c r="G189" s="5" t="s">
        <v>3</v>
      </c>
      <c r="H189" s="5" t="s">
        <v>3</v>
      </c>
    </row>
    <row r="190" spans="1:8" x14ac:dyDescent="0.25">
      <c r="A190" s="24" t="s">
        <v>448</v>
      </c>
      <c r="B190" s="24" t="s">
        <v>449</v>
      </c>
      <c r="C190" s="24" t="s">
        <v>499</v>
      </c>
      <c r="D190" s="27">
        <f>SUM(D191:D191)</f>
        <v>17.86</v>
      </c>
      <c r="E190" s="27">
        <f>SUM(E191:E191)</f>
        <v>0</v>
      </c>
      <c r="F190" s="27">
        <f>SUM(F191:F191)</f>
        <v>17.86</v>
      </c>
      <c r="G190" s="24" t="s">
        <v>3</v>
      </c>
      <c r="H190" s="24" t="s">
        <v>3</v>
      </c>
    </row>
    <row r="191" spans="1:8" x14ac:dyDescent="0.25">
      <c r="A191" s="5" t="s">
        <v>3</v>
      </c>
      <c r="B191" s="5" t="s">
        <v>3</v>
      </c>
      <c r="C191" s="5" t="s">
        <v>853</v>
      </c>
      <c r="D191" s="6">
        <v>17.86</v>
      </c>
      <c r="E191" s="6">
        <v>0</v>
      </c>
      <c r="F191" s="6">
        <f>D191+E191</f>
        <v>17.86</v>
      </c>
      <c r="G191" s="5" t="s">
        <v>3</v>
      </c>
      <c r="H191" s="5" t="s">
        <v>3</v>
      </c>
    </row>
    <row r="192" spans="1:8" x14ac:dyDescent="0.25">
      <c r="A192" s="24" t="s">
        <v>450</v>
      </c>
      <c r="B192" s="24" t="s">
        <v>451</v>
      </c>
      <c r="C192" s="24" t="s">
        <v>499</v>
      </c>
      <c r="D192" s="27">
        <f>SUM(D193:D193)</f>
        <v>10309.18</v>
      </c>
      <c r="E192" s="27">
        <f>SUM(E193:E193)</f>
        <v>0</v>
      </c>
      <c r="F192" s="27">
        <f>SUM(F193:F193)</f>
        <v>10309.18</v>
      </c>
      <c r="G192" s="24" t="s">
        <v>3</v>
      </c>
      <c r="H192" s="24" t="s">
        <v>3</v>
      </c>
    </row>
    <row r="193" spans="1:8" x14ac:dyDescent="0.25">
      <c r="A193" s="5" t="s">
        <v>3</v>
      </c>
      <c r="B193" s="5" t="s">
        <v>3</v>
      </c>
      <c r="C193" s="5" t="s">
        <v>666</v>
      </c>
      <c r="D193" s="6">
        <v>10309.18</v>
      </c>
      <c r="E193" s="6">
        <v>0</v>
      </c>
      <c r="F193" s="6">
        <f>D193+E193</f>
        <v>10309.18</v>
      </c>
      <c r="G193" s="5" t="s">
        <v>3</v>
      </c>
      <c r="H193" s="5" t="s">
        <v>3</v>
      </c>
    </row>
    <row r="194" spans="1:8" x14ac:dyDescent="0.25">
      <c r="A194" s="24" t="s">
        <v>452</v>
      </c>
      <c r="B194" s="24" t="s">
        <v>453</v>
      </c>
      <c r="C194" s="24" t="s">
        <v>499</v>
      </c>
      <c r="D194" s="27">
        <f>SUM(D195:D196)</f>
        <v>35444.69</v>
      </c>
      <c r="E194" s="27">
        <f>SUM(E195:E196)</f>
        <v>-22501.95</v>
      </c>
      <c r="F194" s="27">
        <f>SUM(F195:F196)</f>
        <v>12942.74</v>
      </c>
      <c r="G194" s="24" t="s">
        <v>3</v>
      </c>
      <c r="H194" s="24" t="s">
        <v>3</v>
      </c>
    </row>
    <row r="195" spans="1:8" x14ac:dyDescent="0.25">
      <c r="A195" s="5" t="s">
        <v>3</v>
      </c>
      <c r="B195" s="5" t="s">
        <v>3</v>
      </c>
      <c r="C195" s="5" t="s">
        <v>131</v>
      </c>
      <c r="D195" s="6">
        <v>22501.95</v>
      </c>
      <c r="E195" s="14">
        <v>-22501.95</v>
      </c>
      <c r="F195" s="6">
        <f>D195+E195</f>
        <v>0</v>
      </c>
      <c r="G195" s="15" t="s">
        <v>1035</v>
      </c>
      <c r="H195" s="5" t="s">
        <v>3</v>
      </c>
    </row>
    <row r="196" spans="1:8" x14ac:dyDescent="0.25">
      <c r="A196" s="5" t="s">
        <v>3</v>
      </c>
      <c r="B196" s="5" t="s">
        <v>3</v>
      </c>
      <c r="C196" s="5" t="s">
        <v>199</v>
      </c>
      <c r="D196" s="6">
        <v>12942.74</v>
      </c>
      <c r="E196" s="6">
        <v>0</v>
      </c>
      <c r="F196" s="6">
        <f>D196+E196</f>
        <v>12942.74</v>
      </c>
      <c r="G196" s="5" t="s">
        <v>3</v>
      </c>
      <c r="H196" s="5" t="s">
        <v>3</v>
      </c>
    </row>
    <row r="197" spans="1:8" x14ac:dyDescent="0.25">
      <c r="A197" s="24" t="s">
        <v>454</v>
      </c>
      <c r="B197" s="24" t="s">
        <v>455</v>
      </c>
      <c r="C197" s="24" t="s">
        <v>499</v>
      </c>
      <c r="D197" s="27">
        <f>SUM(D198:D203)</f>
        <v>11090</v>
      </c>
      <c r="E197" s="27">
        <f>SUM(E198:E203)</f>
        <v>0</v>
      </c>
      <c r="F197" s="27">
        <f>SUM(F198:F203)</f>
        <v>11090</v>
      </c>
      <c r="G197" s="24" t="s">
        <v>3</v>
      </c>
      <c r="H197" s="24" t="s">
        <v>3</v>
      </c>
    </row>
    <row r="198" spans="1:8" x14ac:dyDescent="0.25">
      <c r="A198" s="5" t="s">
        <v>3</v>
      </c>
      <c r="B198" s="5" t="s">
        <v>3</v>
      </c>
      <c r="C198" s="5" t="s">
        <v>670</v>
      </c>
      <c r="D198" s="6">
        <v>4780</v>
      </c>
      <c r="E198" s="6">
        <v>0</v>
      </c>
      <c r="F198" s="6">
        <f>D198+E198</f>
        <v>4780</v>
      </c>
      <c r="G198" s="5" t="s">
        <v>3</v>
      </c>
      <c r="H198" s="5" t="s">
        <v>3</v>
      </c>
    </row>
    <row r="199" spans="1:8" x14ac:dyDescent="0.25">
      <c r="A199" s="5" t="s">
        <v>3</v>
      </c>
      <c r="B199" s="5" t="s">
        <v>3</v>
      </c>
      <c r="C199" s="5" t="s">
        <v>840</v>
      </c>
      <c r="D199" s="6">
        <v>2400</v>
      </c>
      <c r="E199" s="6">
        <v>0</v>
      </c>
      <c r="F199" s="6">
        <f>D199+E199</f>
        <v>2400</v>
      </c>
      <c r="G199" s="5" t="s">
        <v>3</v>
      </c>
      <c r="H199" s="5" t="s">
        <v>3</v>
      </c>
    </row>
    <row r="200" spans="1:8" x14ac:dyDescent="0.25">
      <c r="A200" s="5" t="s">
        <v>3</v>
      </c>
      <c r="B200" s="5" t="s">
        <v>3</v>
      </c>
      <c r="C200" s="5" t="s">
        <v>248</v>
      </c>
      <c r="D200" s="6">
        <v>2000</v>
      </c>
      <c r="E200" s="6">
        <v>0</v>
      </c>
      <c r="F200" s="6">
        <f>D200+E200</f>
        <v>2000</v>
      </c>
      <c r="G200" s="5" t="s">
        <v>3</v>
      </c>
      <c r="H200" s="5" t="s">
        <v>3</v>
      </c>
    </row>
    <row r="201" spans="1:8" x14ac:dyDescent="0.25">
      <c r="A201" s="5" t="s">
        <v>3</v>
      </c>
      <c r="B201" s="5" t="s">
        <v>3</v>
      </c>
      <c r="C201" s="5" t="s">
        <v>1086</v>
      </c>
      <c r="D201" s="6">
        <v>810</v>
      </c>
      <c r="E201" s="6">
        <v>0</v>
      </c>
      <c r="F201" s="6">
        <f>D201+E201</f>
        <v>810</v>
      </c>
      <c r="G201" s="5" t="s">
        <v>3</v>
      </c>
      <c r="H201" s="5" t="s">
        <v>3</v>
      </c>
    </row>
    <row r="202" spans="1:8" x14ac:dyDescent="0.25">
      <c r="A202" s="5" t="s">
        <v>3</v>
      </c>
      <c r="B202" s="5" t="s">
        <v>3</v>
      </c>
      <c r="C202" s="5" t="s">
        <v>66</v>
      </c>
      <c r="D202" s="6">
        <v>800</v>
      </c>
      <c r="E202" s="6">
        <v>0</v>
      </c>
      <c r="F202" s="6">
        <f>D202+E202</f>
        <v>800</v>
      </c>
      <c r="G202" s="5" t="s">
        <v>3</v>
      </c>
      <c r="H202" s="5" t="s">
        <v>3</v>
      </c>
    </row>
    <row r="203" spans="1:8" x14ac:dyDescent="0.25">
      <c r="A203" s="5" t="s">
        <v>3</v>
      </c>
      <c r="B203" s="5" t="s">
        <v>3</v>
      </c>
      <c r="C203" s="5" t="s">
        <v>1087</v>
      </c>
      <c r="D203" s="6">
        <v>300</v>
      </c>
      <c r="E203" s="6">
        <v>0</v>
      </c>
      <c r="F203" s="6">
        <f>D203+E203</f>
        <v>300</v>
      </c>
      <c r="G203" s="5" t="s">
        <v>3</v>
      </c>
      <c r="H203" s="5" t="s">
        <v>3</v>
      </c>
    </row>
    <row r="204" spans="1:8" x14ac:dyDescent="0.25">
      <c r="A204" s="24" t="s">
        <v>456</v>
      </c>
      <c r="B204" s="24" t="s">
        <v>457</v>
      </c>
      <c r="C204" s="24" t="s">
        <v>499</v>
      </c>
      <c r="D204" s="27">
        <f>SUM(D205:D205)</f>
        <v>7500</v>
      </c>
      <c r="E204" s="27">
        <f>SUM(E205:E205)</f>
        <v>0</v>
      </c>
      <c r="F204" s="27">
        <f>SUM(F205:F205)</f>
        <v>7500</v>
      </c>
      <c r="G204" s="24" t="s">
        <v>3</v>
      </c>
      <c r="H204" s="24" t="s">
        <v>3</v>
      </c>
    </row>
    <row r="205" spans="1:8" x14ac:dyDescent="0.25">
      <c r="A205" s="5" t="s">
        <v>3</v>
      </c>
      <c r="B205" s="5" t="s">
        <v>3</v>
      </c>
      <c r="C205" s="5" t="s">
        <v>671</v>
      </c>
      <c r="D205" s="6">
        <v>7500</v>
      </c>
      <c r="E205" s="6">
        <v>0</v>
      </c>
      <c r="F205" s="6">
        <f>D205+E205</f>
        <v>7500</v>
      </c>
      <c r="G205" s="5" t="s">
        <v>3</v>
      </c>
      <c r="H205" s="5" t="s">
        <v>3</v>
      </c>
    </row>
    <row r="206" spans="1:8" x14ac:dyDescent="0.25">
      <c r="A206" s="24" t="s">
        <v>458</v>
      </c>
      <c r="B206" s="24" t="s">
        <v>459</v>
      </c>
      <c r="C206" s="24" t="s">
        <v>499</v>
      </c>
      <c r="D206" s="27">
        <f>SUM(D207:D274)</f>
        <v>841271.85</v>
      </c>
      <c r="E206" s="27">
        <f>SUM(E207:E274)</f>
        <v>-60804.94</v>
      </c>
      <c r="F206" s="27">
        <f>SUM(F207:F274)</f>
        <v>780466.91</v>
      </c>
      <c r="G206" s="24" t="s">
        <v>3</v>
      </c>
      <c r="H206" s="24" t="s">
        <v>3</v>
      </c>
    </row>
    <row r="207" spans="1:8" x14ac:dyDescent="0.25">
      <c r="A207" s="5" t="s">
        <v>3</v>
      </c>
      <c r="B207" s="5" t="s">
        <v>3</v>
      </c>
      <c r="C207" s="5" t="s">
        <v>185</v>
      </c>
      <c r="D207" s="6">
        <v>0</v>
      </c>
      <c r="E207" s="29">
        <v>45000</v>
      </c>
      <c r="F207" s="6">
        <f>D207+E207</f>
        <v>45000</v>
      </c>
      <c r="G207" s="23" t="s">
        <v>1088</v>
      </c>
      <c r="H207" s="5" t="s">
        <v>3</v>
      </c>
    </row>
    <row r="208" spans="1:8" x14ac:dyDescent="0.25">
      <c r="A208" s="5" t="s">
        <v>3</v>
      </c>
      <c r="B208" s="5" t="s">
        <v>3</v>
      </c>
      <c r="C208" s="5" t="s">
        <v>126</v>
      </c>
      <c r="D208" s="6">
        <v>30000</v>
      </c>
      <c r="E208" s="14">
        <v>-30000</v>
      </c>
      <c r="F208" s="6">
        <f>D208+E208</f>
        <v>0</v>
      </c>
      <c r="G208" s="15" t="s">
        <v>196</v>
      </c>
      <c r="H208" s="5" t="s">
        <v>3</v>
      </c>
    </row>
    <row r="209" spans="1:8" x14ac:dyDescent="0.25">
      <c r="A209" s="5" t="s">
        <v>3</v>
      </c>
      <c r="B209" s="5" t="s">
        <v>3</v>
      </c>
      <c r="C209" s="5" t="s">
        <v>128</v>
      </c>
      <c r="D209" s="6">
        <v>26000</v>
      </c>
      <c r="E209" s="14">
        <v>-26000</v>
      </c>
      <c r="F209" s="6">
        <f>D209+E209</f>
        <v>0</v>
      </c>
      <c r="G209" s="15" t="s">
        <v>1022</v>
      </c>
      <c r="H209" s="5" t="s">
        <v>3</v>
      </c>
    </row>
    <row r="210" spans="1:8" x14ac:dyDescent="0.25">
      <c r="A210" s="5" t="s">
        <v>3</v>
      </c>
      <c r="B210" s="5" t="s">
        <v>3</v>
      </c>
      <c r="C210" s="5" t="s">
        <v>72</v>
      </c>
      <c r="D210" s="6">
        <v>22000</v>
      </c>
      <c r="E210" s="14">
        <v>-22000</v>
      </c>
      <c r="F210" s="6">
        <f>D210+E210</f>
        <v>0</v>
      </c>
      <c r="G210" s="15" t="s">
        <v>1023</v>
      </c>
      <c r="H210" s="5" t="s">
        <v>3</v>
      </c>
    </row>
    <row r="211" spans="1:8" x14ac:dyDescent="0.25">
      <c r="A211" s="5" t="s">
        <v>3</v>
      </c>
      <c r="B211" s="5" t="s">
        <v>3</v>
      </c>
      <c r="C211" s="5" t="s">
        <v>136</v>
      </c>
      <c r="D211" s="6">
        <v>21280</v>
      </c>
      <c r="E211" s="14">
        <v>-21280</v>
      </c>
      <c r="F211" s="6">
        <f>D211+E211</f>
        <v>0</v>
      </c>
      <c r="G211" s="15" t="s">
        <v>1024</v>
      </c>
      <c r="H211" s="5" t="s">
        <v>3</v>
      </c>
    </row>
    <row r="212" spans="1:8" x14ac:dyDescent="0.25">
      <c r="A212" s="5" t="s">
        <v>3</v>
      </c>
      <c r="B212" s="5" t="s">
        <v>3</v>
      </c>
      <c r="C212" s="5" t="s">
        <v>158</v>
      </c>
      <c r="D212" s="6">
        <v>13049.88</v>
      </c>
      <c r="E212" s="28">
        <v>-6524.94</v>
      </c>
      <c r="F212" s="6">
        <f>D212+E212</f>
        <v>6524.94</v>
      </c>
      <c r="G212" s="22" t="s">
        <v>1089</v>
      </c>
      <c r="H212" s="5" t="s">
        <v>3</v>
      </c>
    </row>
    <row r="213" spans="1:8" x14ac:dyDescent="0.25">
      <c r="A213" s="5" t="s">
        <v>3</v>
      </c>
      <c r="B213" s="5" t="s">
        <v>3</v>
      </c>
      <c r="C213" s="5" t="s">
        <v>85</v>
      </c>
      <c r="D213" s="6">
        <v>70000</v>
      </c>
      <c r="E213" s="6">
        <v>0</v>
      </c>
      <c r="F213" s="6">
        <f>D213+E213</f>
        <v>70000</v>
      </c>
      <c r="G213" s="5" t="s">
        <v>3</v>
      </c>
      <c r="H213" s="5" t="s">
        <v>3</v>
      </c>
    </row>
    <row r="214" spans="1:8" x14ac:dyDescent="0.25">
      <c r="A214" s="5" t="s">
        <v>3</v>
      </c>
      <c r="B214" s="5" t="s">
        <v>3</v>
      </c>
      <c r="C214" s="5" t="s">
        <v>273</v>
      </c>
      <c r="D214" s="6">
        <v>45000</v>
      </c>
      <c r="E214" s="6">
        <v>0</v>
      </c>
      <c r="F214" s="6">
        <f>D214+E214</f>
        <v>45000</v>
      </c>
      <c r="G214" s="5" t="s">
        <v>3</v>
      </c>
      <c r="H214" s="5" t="s">
        <v>3</v>
      </c>
    </row>
    <row r="215" spans="1:8" x14ac:dyDescent="0.25">
      <c r="A215" s="5" t="s">
        <v>3</v>
      </c>
      <c r="B215" s="5" t="s">
        <v>3</v>
      </c>
      <c r="C215" s="5" t="s">
        <v>678</v>
      </c>
      <c r="D215" s="6">
        <v>32671.5</v>
      </c>
      <c r="E215" s="6">
        <v>0</v>
      </c>
      <c r="F215" s="6">
        <f>D215+E215</f>
        <v>32671.5</v>
      </c>
      <c r="G215" s="5" t="s">
        <v>3</v>
      </c>
      <c r="H215" s="5" t="s">
        <v>3</v>
      </c>
    </row>
    <row r="216" spans="1:8" x14ac:dyDescent="0.25">
      <c r="A216" s="5" t="s">
        <v>3</v>
      </c>
      <c r="B216" s="5" t="s">
        <v>3</v>
      </c>
      <c r="C216" s="5" t="s">
        <v>88</v>
      </c>
      <c r="D216" s="6">
        <v>31278</v>
      </c>
      <c r="E216" s="6">
        <v>0</v>
      </c>
      <c r="F216" s="6">
        <f>D216+E216</f>
        <v>31278</v>
      </c>
      <c r="G216" s="5" t="s">
        <v>3</v>
      </c>
      <c r="H216" s="5" t="s">
        <v>3</v>
      </c>
    </row>
    <row r="217" spans="1:8" x14ac:dyDescent="0.25">
      <c r="A217" s="5" t="s">
        <v>3</v>
      </c>
      <c r="B217" s="5" t="s">
        <v>3</v>
      </c>
      <c r="C217" s="5" t="s">
        <v>680</v>
      </c>
      <c r="D217" s="6">
        <v>30000</v>
      </c>
      <c r="E217" s="6">
        <v>0</v>
      </c>
      <c r="F217" s="6">
        <f>D217+E217</f>
        <v>30000</v>
      </c>
      <c r="G217" s="5" t="s">
        <v>3</v>
      </c>
      <c r="H217" s="5" t="s">
        <v>3</v>
      </c>
    </row>
    <row r="218" spans="1:8" x14ac:dyDescent="0.25">
      <c r="A218" s="5" t="s">
        <v>3</v>
      </c>
      <c r="B218" s="5" t="s">
        <v>3</v>
      </c>
      <c r="C218" s="5" t="s">
        <v>711</v>
      </c>
      <c r="D218" s="6">
        <v>23064.52</v>
      </c>
      <c r="E218" s="6">
        <v>0</v>
      </c>
      <c r="F218" s="6">
        <f>D218+E218</f>
        <v>23064.52</v>
      </c>
      <c r="G218" s="5" t="s">
        <v>3</v>
      </c>
      <c r="H218" s="5" t="s">
        <v>3</v>
      </c>
    </row>
    <row r="219" spans="1:8" x14ac:dyDescent="0.25">
      <c r="A219" s="5" t="s">
        <v>3</v>
      </c>
      <c r="B219" s="5" t="s">
        <v>3</v>
      </c>
      <c r="C219" s="5" t="s">
        <v>681</v>
      </c>
      <c r="D219" s="6">
        <v>22937.2</v>
      </c>
      <c r="E219" s="6">
        <v>0</v>
      </c>
      <c r="F219" s="6">
        <f>D219+E219</f>
        <v>22937.2</v>
      </c>
      <c r="G219" s="5" t="s">
        <v>3</v>
      </c>
      <c r="H219" s="5" t="s">
        <v>3</v>
      </c>
    </row>
    <row r="220" spans="1:8" x14ac:dyDescent="0.25">
      <c r="A220" s="5" t="s">
        <v>3</v>
      </c>
      <c r="B220" s="5" t="s">
        <v>3</v>
      </c>
      <c r="C220" s="5" t="s">
        <v>683</v>
      </c>
      <c r="D220" s="6">
        <v>22937.2</v>
      </c>
      <c r="E220" s="6">
        <v>0</v>
      </c>
      <c r="F220" s="6">
        <f>D220+E220</f>
        <v>22937.2</v>
      </c>
      <c r="G220" s="5" t="s">
        <v>3</v>
      </c>
      <c r="H220" s="5" t="s">
        <v>3</v>
      </c>
    </row>
    <row r="221" spans="1:8" x14ac:dyDescent="0.25">
      <c r="A221" s="5" t="s">
        <v>3</v>
      </c>
      <c r="B221" s="5" t="s">
        <v>3</v>
      </c>
      <c r="C221" s="5" t="s">
        <v>691</v>
      </c>
      <c r="D221" s="6">
        <v>20000</v>
      </c>
      <c r="E221" s="6">
        <v>0</v>
      </c>
      <c r="F221" s="6">
        <f>D221+E221</f>
        <v>20000</v>
      </c>
      <c r="G221" s="5" t="s">
        <v>3</v>
      </c>
      <c r="H221" s="5" t="s">
        <v>3</v>
      </c>
    </row>
    <row r="222" spans="1:8" x14ac:dyDescent="0.25">
      <c r="A222" s="5" t="s">
        <v>3</v>
      </c>
      <c r="B222" s="5" t="s">
        <v>3</v>
      </c>
      <c r="C222" s="5" t="s">
        <v>734</v>
      </c>
      <c r="D222" s="6">
        <v>18000</v>
      </c>
      <c r="E222" s="6">
        <v>0</v>
      </c>
      <c r="F222" s="6">
        <f>D222+E222</f>
        <v>18000</v>
      </c>
      <c r="G222" s="5" t="s">
        <v>3</v>
      </c>
      <c r="H222" s="5" t="s">
        <v>3</v>
      </c>
    </row>
    <row r="223" spans="1:8" x14ac:dyDescent="0.25">
      <c r="A223" s="5" t="s">
        <v>3</v>
      </c>
      <c r="B223" s="5" t="s">
        <v>3</v>
      </c>
      <c r="C223" s="5" t="s">
        <v>721</v>
      </c>
      <c r="D223" s="6">
        <v>17500</v>
      </c>
      <c r="E223" s="6">
        <v>0</v>
      </c>
      <c r="F223" s="6">
        <f>D223+E223</f>
        <v>17500</v>
      </c>
      <c r="G223" s="5" t="s">
        <v>3</v>
      </c>
      <c r="H223" s="5" t="s">
        <v>1090</v>
      </c>
    </row>
    <row r="224" spans="1:8" x14ac:dyDescent="0.25">
      <c r="A224" s="5" t="s">
        <v>3</v>
      </c>
      <c r="B224" s="5" t="s">
        <v>3</v>
      </c>
      <c r="C224" s="5" t="s">
        <v>686</v>
      </c>
      <c r="D224" s="6">
        <v>16039.11</v>
      </c>
      <c r="E224" s="6">
        <v>0</v>
      </c>
      <c r="F224" s="6">
        <f>D224+E224</f>
        <v>16039.11</v>
      </c>
      <c r="G224" s="5" t="s">
        <v>3</v>
      </c>
      <c r="H224" s="5" t="s">
        <v>3</v>
      </c>
    </row>
    <row r="225" spans="1:8" x14ac:dyDescent="0.25">
      <c r="A225" s="5" t="s">
        <v>3</v>
      </c>
      <c r="B225" s="5" t="s">
        <v>3</v>
      </c>
      <c r="C225" s="5" t="s">
        <v>140</v>
      </c>
      <c r="D225" s="6">
        <v>15236.56</v>
      </c>
      <c r="E225" s="6">
        <v>0</v>
      </c>
      <c r="F225" s="6">
        <f>D225+E225</f>
        <v>15236.56</v>
      </c>
      <c r="G225" s="5" t="s">
        <v>3</v>
      </c>
      <c r="H225" s="5" t="s">
        <v>3</v>
      </c>
    </row>
    <row r="226" spans="1:8" x14ac:dyDescent="0.25">
      <c r="A226" s="5" t="s">
        <v>3</v>
      </c>
      <c r="B226" s="5" t="s">
        <v>3</v>
      </c>
      <c r="C226" s="5" t="s">
        <v>718</v>
      </c>
      <c r="D226" s="6">
        <v>15000</v>
      </c>
      <c r="E226" s="6">
        <v>0</v>
      </c>
      <c r="F226" s="6">
        <f>D226+E226</f>
        <v>15000</v>
      </c>
      <c r="G226" s="5" t="s">
        <v>3</v>
      </c>
      <c r="H226" s="5" t="s">
        <v>3</v>
      </c>
    </row>
    <row r="227" spans="1:8" x14ac:dyDescent="0.25">
      <c r="A227" s="5" t="s">
        <v>3</v>
      </c>
      <c r="B227" s="5" t="s">
        <v>3</v>
      </c>
      <c r="C227" s="5" t="s">
        <v>702</v>
      </c>
      <c r="D227" s="6">
        <v>14596.4</v>
      </c>
      <c r="E227" s="6">
        <v>0</v>
      </c>
      <c r="F227" s="6">
        <f>D227+E227</f>
        <v>14596.4</v>
      </c>
      <c r="G227" s="5" t="s">
        <v>3</v>
      </c>
      <c r="H227" s="5" t="s">
        <v>3</v>
      </c>
    </row>
    <row r="228" spans="1:8" x14ac:dyDescent="0.25">
      <c r="A228" s="5" t="s">
        <v>3</v>
      </c>
      <c r="B228" s="5" t="s">
        <v>3</v>
      </c>
      <c r="C228" s="5" t="s">
        <v>690</v>
      </c>
      <c r="D228" s="6">
        <v>14596.4</v>
      </c>
      <c r="E228" s="6">
        <v>0</v>
      </c>
      <c r="F228" s="6">
        <f>D228+E228</f>
        <v>14596.4</v>
      </c>
      <c r="G228" s="5" t="s">
        <v>3</v>
      </c>
      <c r="H228" s="5" t="s">
        <v>3</v>
      </c>
    </row>
    <row r="229" spans="1:8" x14ac:dyDescent="0.25">
      <c r="A229" s="5" t="s">
        <v>3</v>
      </c>
      <c r="B229" s="5" t="s">
        <v>3</v>
      </c>
      <c r="C229" s="5" t="s">
        <v>218</v>
      </c>
      <c r="D229" s="6">
        <v>14075.1</v>
      </c>
      <c r="E229" s="6">
        <v>0</v>
      </c>
      <c r="F229" s="6">
        <f>D229+E229</f>
        <v>14075.1</v>
      </c>
      <c r="G229" s="5" t="s">
        <v>3</v>
      </c>
      <c r="H229" s="5" t="s">
        <v>3</v>
      </c>
    </row>
    <row r="230" spans="1:8" x14ac:dyDescent="0.25">
      <c r="A230" s="5" t="s">
        <v>3</v>
      </c>
      <c r="B230" s="5" t="s">
        <v>3</v>
      </c>
      <c r="C230" s="5" t="s">
        <v>77</v>
      </c>
      <c r="D230" s="6">
        <v>14000</v>
      </c>
      <c r="E230" s="6">
        <v>0</v>
      </c>
      <c r="F230" s="6">
        <f>D230+E230</f>
        <v>14000</v>
      </c>
      <c r="G230" s="5" t="s">
        <v>3</v>
      </c>
      <c r="H230" s="5" t="s">
        <v>3</v>
      </c>
    </row>
    <row r="231" spans="1:8" x14ac:dyDescent="0.25">
      <c r="A231" s="5" t="s">
        <v>3</v>
      </c>
      <c r="B231" s="5" t="s">
        <v>3</v>
      </c>
      <c r="C231" s="5" t="s">
        <v>716</v>
      </c>
      <c r="D231" s="6">
        <v>13670</v>
      </c>
      <c r="E231" s="6">
        <v>0</v>
      </c>
      <c r="F231" s="6">
        <f>D231+E231</f>
        <v>13670</v>
      </c>
      <c r="G231" s="5" t="s">
        <v>3</v>
      </c>
      <c r="H231" s="5" t="s">
        <v>1091</v>
      </c>
    </row>
    <row r="232" spans="1:8" x14ac:dyDescent="0.25">
      <c r="A232" s="5" t="s">
        <v>3</v>
      </c>
      <c r="B232" s="5" t="s">
        <v>3</v>
      </c>
      <c r="C232" s="5" t="s">
        <v>197</v>
      </c>
      <c r="D232" s="6">
        <v>13500</v>
      </c>
      <c r="E232" s="6">
        <v>0</v>
      </c>
      <c r="F232" s="6">
        <f>D232+E232</f>
        <v>13500</v>
      </c>
      <c r="G232" s="5" t="s">
        <v>3</v>
      </c>
      <c r="H232" s="5" t="s">
        <v>3</v>
      </c>
    </row>
    <row r="233" spans="1:8" x14ac:dyDescent="0.25">
      <c r="A233" s="5" t="s">
        <v>3</v>
      </c>
      <c r="B233" s="5" t="s">
        <v>3</v>
      </c>
      <c r="C233" s="5" t="s">
        <v>694</v>
      </c>
      <c r="D233" s="6">
        <v>13414.39</v>
      </c>
      <c r="E233" s="6">
        <v>0</v>
      </c>
      <c r="F233" s="6">
        <f>D233+E233</f>
        <v>13414.39</v>
      </c>
      <c r="G233" s="5" t="s">
        <v>3</v>
      </c>
      <c r="H233" s="5" t="s">
        <v>3</v>
      </c>
    </row>
    <row r="234" spans="1:8" x14ac:dyDescent="0.25">
      <c r="A234" s="5" t="s">
        <v>3</v>
      </c>
      <c r="B234" s="5" t="s">
        <v>3</v>
      </c>
      <c r="C234" s="5" t="s">
        <v>698</v>
      </c>
      <c r="D234" s="6">
        <v>12500</v>
      </c>
      <c r="E234" s="6">
        <v>0</v>
      </c>
      <c r="F234" s="6">
        <f>D234+E234</f>
        <v>12500</v>
      </c>
      <c r="G234" s="5" t="s">
        <v>3</v>
      </c>
      <c r="H234" s="5" t="s">
        <v>3</v>
      </c>
    </row>
    <row r="235" spans="1:8" x14ac:dyDescent="0.25">
      <c r="A235" s="5" t="s">
        <v>3</v>
      </c>
      <c r="B235" s="5" t="s">
        <v>3</v>
      </c>
      <c r="C235" s="5" t="s">
        <v>833</v>
      </c>
      <c r="D235" s="6">
        <v>12000</v>
      </c>
      <c r="E235" s="6">
        <v>0</v>
      </c>
      <c r="F235" s="6">
        <f>D235+E235</f>
        <v>12000</v>
      </c>
      <c r="G235" s="5" t="s">
        <v>3</v>
      </c>
      <c r="H235" s="5" t="s">
        <v>3</v>
      </c>
    </row>
    <row r="236" spans="1:8" x14ac:dyDescent="0.25">
      <c r="A236" s="5" t="s">
        <v>3</v>
      </c>
      <c r="B236" s="5" t="s">
        <v>3</v>
      </c>
      <c r="C236" s="5" t="s">
        <v>79</v>
      </c>
      <c r="D236" s="6">
        <v>11666.67</v>
      </c>
      <c r="E236" s="6">
        <v>0</v>
      </c>
      <c r="F236" s="6">
        <f>D236+E236</f>
        <v>11666.67</v>
      </c>
      <c r="G236" s="5" t="s">
        <v>3</v>
      </c>
      <c r="H236" s="5" t="s">
        <v>531</v>
      </c>
    </row>
    <row r="237" spans="1:8" x14ac:dyDescent="0.25">
      <c r="A237" s="5" t="s">
        <v>3</v>
      </c>
      <c r="B237" s="5" t="s">
        <v>3</v>
      </c>
      <c r="C237" s="5" t="s">
        <v>692</v>
      </c>
      <c r="D237" s="6">
        <v>11000</v>
      </c>
      <c r="E237" s="6">
        <v>0</v>
      </c>
      <c r="F237" s="6">
        <f>D237+E237</f>
        <v>11000</v>
      </c>
      <c r="G237" s="5" t="s">
        <v>3</v>
      </c>
      <c r="H237" s="5" t="s">
        <v>3</v>
      </c>
    </row>
    <row r="238" spans="1:8" x14ac:dyDescent="0.25">
      <c r="A238" s="5" t="s">
        <v>3</v>
      </c>
      <c r="B238" s="5" t="s">
        <v>3</v>
      </c>
      <c r="C238" s="5" t="s">
        <v>695</v>
      </c>
      <c r="D238" s="6">
        <v>11000</v>
      </c>
      <c r="E238" s="6">
        <v>0</v>
      </c>
      <c r="F238" s="6">
        <f>D238+E238</f>
        <v>11000</v>
      </c>
      <c r="G238" s="5" t="s">
        <v>3</v>
      </c>
      <c r="H238" s="5" t="s">
        <v>3</v>
      </c>
    </row>
    <row r="239" spans="1:8" x14ac:dyDescent="0.25">
      <c r="A239" s="5" t="s">
        <v>3</v>
      </c>
      <c r="B239" s="5" t="s">
        <v>3</v>
      </c>
      <c r="C239" s="5" t="s">
        <v>720</v>
      </c>
      <c r="D239" s="6">
        <v>10000</v>
      </c>
      <c r="E239" s="6">
        <v>0</v>
      </c>
      <c r="F239" s="6">
        <f>D239+E239</f>
        <v>10000</v>
      </c>
      <c r="G239" s="5" t="s">
        <v>3</v>
      </c>
      <c r="H239" s="5" t="s">
        <v>3</v>
      </c>
    </row>
    <row r="240" spans="1:8" x14ac:dyDescent="0.25">
      <c r="A240" s="5" t="s">
        <v>3</v>
      </c>
      <c r="B240" s="5" t="s">
        <v>3</v>
      </c>
      <c r="C240" s="5" t="s">
        <v>308</v>
      </c>
      <c r="D240" s="6">
        <v>10000</v>
      </c>
      <c r="E240" s="6">
        <v>0</v>
      </c>
      <c r="F240" s="6">
        <f>D240+E240</f>
        <v>10000</v>
      </c>
      <c r="G240" s="5" t="s">
        <v>3</v>
      </c>
      <c r="H240" s="5" t="s">
        <v>3</v>
      </c>
    </row>
    <row r="241" spans="1:8" x14ac:dyDescent="0.25">
      <c r="A241" s="5" t="s">
        <v>3</v>
      </c>
      <c r="B241" s="5" t="s">
        <v>3</v>
      </c>
      <c r="C241" s="5" t="s">
        <v>669</v>
      </c>
      <c r="D241" s="6">
        <v>9916.01</v>
      </c>
      <c r="E241" s="6">
        <v>0</v>
      </c>
      <c r="F241" s="6">
        <f>D241+E241</f>
        <v>9916.01</v>
      </c>
      <c r="G241" s="5" t="s">
        <v>3</v>
      </c>
      <c r="H241" s="5" t="s">
        <v>3</v>
      </c>
    </row>
    <row r="242" spans="1:8" x14ac:dyDescent="0.25">
      <c r="A242" s="5" t="s">
        <v>3</v>
      </c>
      <c r="B242" s="5" t="s">
        <v>3</v>
      </c>
      <c r="C242" s="5" t="s">
        <v>703</v>
      </c>
      <c r="D242" s="6">
        <v>9318.83</v>
      </c>
      <c r="E242" s="6">
        <v>0</v>
      </c>
      <c r="F242" s="6">
        <f>D242+E242</f>
        <v>9318.83</v>
      </c>
      <c r="G242" s="5" t="s">
        <v>3</v>
      </c>
      <c r="H242" s="5" t="s">
        <v>3</v>
      </c>
    </row>
    <row r="243" spans="1:8" x14ac:dyDescent="0.25">
      <c r="A243" s="5" t="s">
        <v>3</v>
      </c>
      <c r="B243" s="5" t="s">
        <v>3</v>
      </c>
      <c r="C243" s="5" t="s">
        <v>700</v>
      </c>
      <c r="D243" s="6">
        <v>9000</v>
      </c>
      <c r="E243" s="6">
        <v>0</v>
      </c>
      <c r="F243" s="6">
        <f>D243+E243</f>
        <v>9000</v>
      </c>
      <c r="G243" s="5" t="s">
        <v>3</v>
      </c>
      <c r="H243" s="5" t="s">
        <v>3</v>
      </c>
    </row>
    <row r="244" spans="1:8" x14ac:dyDescent="0.25">
      <c r="A244" s="5" t="s">
        <v>3</v>
      </c>
      <c r="B244" s="5" t="s">
        <v>3</v>
      </c>
      <c r="C244" s="5" t="s">
        <v>280</v>
      </c>
      <c r="D244" s="6">
        <v>8500</v>
      </c>
      <c r="E244" s="6">
        <v>0</v>
      </c>
      <c r="F244" s="6">
        <f>D244+E244</f>
        <v>8500</v>
      </c>
      <c r="G244" s="5" t="s">
        <v>3</v>
      </c>
      <c r="H244" s="5" t="s">
        <v>3</v>
      </c>
    </row>
    <row r="245" spans="1:8" x14ac:dyDescent="0.25">
      <c r="A245" s="5" t="s">
        <v>3</v>
      </c>
      <c r="B245" s="5" t="s">
        <v>3</v>
      </c>
      <c r="C245" s="5" t="s">
        <v>220</v>
      </c>
      <c r="D245" s="6">
        <v>8500</v>
      </c>
      <c r="E245" s="6">
        <v>0</v>
      </c>
      <c r="F245" s="6">
        <f>D245+E245</f>
        <v>8500</v>
      </c>
      <c r="G245" s="5" t="s">
        <v>3</v>
      </c>
      <c r="H245" s="5" t="s">
        <v>3</v>
      </c>
    </row>
    <row r="246" spans="1:8" x14ac:dyDescent="0.25">
      <c r="A246" s="5" t="s">
        <v>3</v>
      </c>
      <c r="B246" s="5" t="s">
        <v>3</v>
      </c>
      <c r="C246" s="5" t="s">
        <v>733</v>
      </c>
      <c r="D246" s="6">
        <v>8017.8</v>
      </c>
      <c r="E246" s="6">
        <v>0</v>
      </c>
      <c r="F246" s="6">
        <f>D246+E246</f>
        <v>8017.8</v>
      </c>
      <c r="G246" s="5" t="s">
        <v>3</v>
      </c>
      <c r="H246" s="5" t="s">
        <v>3</v>
      </c>
    </row>
    <row r="247" spans="1:8" x14ac:dyDescent="0.25">
      <c r="A247" s="5" t="s">
        <v>3</v>
      </c>
      <c r="B247" s="5" t="s">
        <v>3</v>
      </c>
      <c r="C247" s="5" t="s">
        <v>290</v>
      </c>
      <c r="D247" s="6">
        <v>7850</v>
      </c>
      <c r="E247" s="6">
        <v>0</v>
      </c>
      <c r="F247" s="6">
        <f>D247+E247</f>
        <v>7850</v>
      </c>
      <c r="G247" s="5" t="s">
        <v>3</v>
      </c>
      <c r="H247" s="5" t="s">
        <v>3</v>
      </c>
    </row>
    <row r="248" spans="1:8" x14ac:dyDescent="0.25">
      <c r="A248" s="5" t="s">
        <v>3</v>
      </c>
      <c r="B248" s="5" t="s">
        <v>3</v>
      </c>
      <c r="C248" s="5" t="s">
        <v>735</v>
      </c>
      <c r="D248" s="6">
        <v>6990</v>
      </c>
      <c r="E248" s="6">
        <v>0</v>
      </c>
      <c r="F248" s="6">
        <f>D248+E248</f>
        <v>6990</v>
      </c>
      <c r="G248" s="5" t="s">
        <v>3</v>
      </c>
      <c r="H248" s="5" t="s">
        <v>3</v>
      </c>
    </row>
    <row r="249" spans="1:8" x14ac:dyDescent="0.25">
      <c r="A249" s="5" t="s">
        <v>3</v>
      </c>
      <c r="B249" s="5" t="s">
        <v>3</v>
      </c>
      <c r="C249" s="5" t="s">
        <v>696</v>
      </c>
      <c r="D249" s="6">
        <v>6628.82</v>
      </c>
      <c r="E249" s="6">
        <v>0</v>
      </c>
      <c r="F249" s="6">
        <f>D249+E249</f>
        <v>6628.82</v>
      </c>
      <c r="G249" s="5" t="s">
        <v>3</v>
      </c>
      <c r="H249" s="5" t="s">
        <v>3</v>
      </c>
    </row>
    <row r="250" spans="1:8" x14ac:dyDescent="0.25">
      <c r="A250" s="5" t="s">
        <v>3</v>
      </c>
      <c r="B250" s="5" t="s">
        <v>3</v>
      </c>
      <c r="C250" s="5" t="s">
        <v>723</v>
      </c>
      <c r="D250" s="6">
        <v>6544.47</v>
      </c>
      <c r="E250" s="6">
        <v>0</v>
      </c>
      <c r="F250" s="6">
        <f>D250+E250</f>
        <v>6544.47</v>
      </c>
      <c r="G250" s="5" t="s">
        <v>3</v>
      </c>
      <c r="H250" s="5" t="s">
        <v>3</v>
      </c>
    </row>
    <row r="251" spans="1:8" x14ac:dyDescent="0.25">
      <c r="A251" s="5" t="s">
        <v>3</v>
      </c>
      <c r="B251" s="5" t="s">
        <v>3</v>
      </c>
      <c r="C251" s="5" t="s">
        <v>727</v>
      </c>
      <c r="D251" s="6">
        <v>6507.51</v>
      </c>
      <c r="E251" s="6">
        <v>0</v>
      </c>
      <c r="F251" s="6">
        <f>D251+E251</f>
        <v>6507.51</v>
      </c>
      <c r="G251" s="5" t="s">
        <v>3</v>
      </c>
      <c r="H251" s="5" t="s">
        <v>3</v>
      </c>
    </row>
    <row r="252" spans="1:8" x14ac:dyDescent="0.25">
      <c r="A252" s="5" t="s">
        <v>3</v>
      </c>
      <c r="B252" s="5" t="s">
        <v>3</v>
      </c>
      <c r="C252" s="5" t="s">
        <v>227</v>
      </c>
      <c r="D252" s="6">
        <v>6500</v>
      </c>
      <c r="E252" s="6">
        <v>0</v>
      </c>
      <c r="F252" s="6">
        <f>D252+E252</f>
        <v>6500</v>
      </c>
      <c r="G252" s="5" t="s">
        <v>3</v>
      </c>
      <c r="H252" s="5" t="s">
        <v>3</v>
      </c>
    </row>
    <row r="253" spans="1:8" x14ac:dyDescent="0.25">
      <c r="A253" s="5" t="s">
        <v>3</v>
      </c>
      <c r="B253" s="5" t="s">
        <v>3</v>
      </c>
      <c r="C253" s="5" t="s">
        <v>712</v>
      </c>
      <c r="D253" s="6">
        <v>6500</v>
      </c>
      <c r="E253" s="6">
        <v>0</v>
      </c>
      <c r="F253" s="6">
        <f>D253+E253</f>
        <v>6500</v>
      </c>
      <c r="G253" s="5" t="s">
        <v>3</v>
      </c>
      <c r="H253" s="5" t="s">
        <v>3</v>
      </c>
    </row>
    <row r="254" spans="1:8" x14ac:dyDescent="0.25">
      <c r="A254" s="5" t="s">
        <v>3</v>
      </c>
      <c r="B254" s="5" t="s">
        <v>3</v>
      </c>
      <c r="C254" s="5" t="s">
        <v>1092</v>
      </c>
      <c r="D254" s="6">
        <v>6500</v>
      </c>
      <c r="E254" s="6">
        <v>0</v>
      </c>
      <c r="F254" s="6">
        <f>D254+E254</f>
        <v>6500</v>
      </c>
      <c r="G254" s="5" t="s">
        <v>3</v>
      </c>
      <c r="H254" s="5" t="s">
        <v>3</v>
      </c>
    </row>
    <row r="255" spans="1:8" x14ac:dyDescent="0.25">
      <c r="A255" s="5" t="s">
        <v>3</v>
      </c>
      <c r="B255" s="5" t="s">
        <v>3</v>
      </c>
      <c r="C255" s="5" t="s">
        <v>1093</v>
      </c>
      <c r="D255" s="6">
        <v>6322.58</v>
      </c>
      <c r="E255" s="6">
        <v>0</v>
      </c>
      <c r="F255" s="6">
        <f>D255+E255</f>
        <v>6322.58</v>
      </c>
      <c r="G255" s="5" t="s">
        <v>3</v>
      </c>
      <c r="H255" s="5" t="s">
        <v>3</v>
      </c>
    </row>
    <row r="256" spans="1:8" x14ac:dyDescent="0.25">
      <c r="A256" s="5" t="s">
        <v>3</v>
      </c>
      <c r="B256" s="5" t="s">
        <v>3</v>
      </c>
      <c r="C256" s="5" t="s">
        <v>225</v>
      </c>
      <c r="D256" s="6">
        <v>6185.22</v>
      </c>
      <c r="E256" s="6">
        <v>0</v>
      </c>
      <c r="F256" s="6">
        <f>D256+E256</f>
        <v>6185.22</v>
      </c>
      <c r="G256" s="5" t="s">
        <v>3</v>
      </c>
      <c r="H256" s="5" t="s">
        <v>3</v>
      </c>
    </row>
    <row r="257" spans="1:8" x14ac:dyDescent="0.25">
      <c r="A257" s="5" t="s">
        <v>3</v>
      </c>
      <c r="B257" s="5" t="s">
        <v>3</v>
      </c>
      <c r="C257" s="5" t="s">
        <v>838</v>
      </c>
      <c r="D257" s="6">
        <v>6000</v>
      </c>
      <c r="E257" s="6">
        <v>0</v>
      </c>
      <c r="F257" s="6">
        <f>D257+E257</f>
        <v>6000</v>
      </c>
      <c r="G257" s="5" t="s">
        <v>3</v>
      </c>
      <c r="H257" s="5" t="s">
        <v>3</v>
      </c>
    </row>
    <row r="258" spans="1:8" x14ac:dyDescent="0.25">
      <c r="A258" s="5" t="s">
        <v>3</v>
      </c>
      <c r="B258" s="5" t="s">
        <v>3</v>
      </c>
      <c r="C258" s="5" t="s">
        <v>229</v>
      </c>
      <c r="D258" s="6">
        <v>5800</v>
      </c>
      <c r="E258" s="6">
        <v>0</v>
      </c>
      <c r="F258" s="6">
        <f>D258+E258</f>
        <v>5800</v>
      </c>
      <c r="G258" s="5" t="s">
        <v>3</v>
      </c>
      <c r="H258" s="5" t="s">
        <v>3</v>
      </c>
    </row>
    <row r="259" spans="1:8" x14ac:dyDescent="0.25">
      <c r="A259" s="5" t="s">
        <v>3</v>
      </c>
      <c r="B259" s="5" t="s">
        <v>3</v>
      </c>
      <c r="C259" s="5" t="s">
        <v>714</v>
      </c>
      <c r="D259" s="6">
        <v>5700</v>
      </c>
      <c r="E259" s="6">
        <v>0</v>
      </c>
      <c r="F259" s="6">
        <f>D259+E259</f>
        <v>5700</v>
      </c>
      <c r="G259" s="5" t="s">
        <v>3</v>
      </c>
      <c r="H259" s="5" t="s">
        <v>3</v>
      </c>
    </row>
    <row r="260" spans="1:8" x14ac:dyDescent="0.25">
      <c r="A260" s="5" t="s">
        <v>3</v>
      </c>
      <c r="B260" s="5" t="s">
        <v>3</v>
      </c>
      <c r="C260" s="5" t="s">
        <v>162</v>
      </c>
      <c r="D260" s="6">
        <v>5400</v>
      </c>
      <c r="E260" s="6">
        <v>0</v>
      </c>
      <c r="F260" s="6">
        <f>D260+E260</f>
        <v>5400</v>
      </c>
      <c r="G260" s="5" t="s">
        <v>3</v>
      </c>
      <c r="H260" s="5" t="s">
        <v>3</v>
      </c>
    </row>
    <row r="261" spans="1:8" x14ac:dyDescent="0.25">
      <c r="A261" s="5" t="s">
        <v>3</v>
      </c>
      <c r="B261" s="5" t="s">
        <v>3</v>
      </c>
      <c r="C261" s="5" t="s">
        <v>1094</v>
      </c>
      <c r="D261" s="6">
        <v>4645.16</v>
      </c>
      <c r="E261" s="6">
        <v>0</v>
      </c>
      <c r="F261" s="6">
        <f>D261+E261</f>
        <v>4645.16</v>
      </c>
      <c r="G261" s="5" t="s">
        <v>3</v>
      </c>
      <c r="H261" s="5" t="s">
        <v>3</v>
      </c>
    </row>
    <row r="262" spans="1:8" x14ac:dyDescent="0.25">
      <c r="A262" s="5" t="s">
        <v>3</v>
      </c>
      <c r="B262" s="5" t="s">
        <v>3</v>
      </c>
      <c r="C262" s="5" t="s">
        <v>732</v>
      </c>
      <c r="D262" s="6">
        <v>4000</v>
      </c>
      <c r="E262" s="6">
        <v>0</v>
      </c>
      <c r="F262" s="6">
        <f>D262+E262</f>
        <v>4000</v>
      </c>
      <c r="G262" s="5" t="s">
        <v>3</v>
      </c>
      <c r="H262" s="5" t="s">
        <v>3</v>
      </c>
    </row>
    <row r="263" spans="1:8" x14ac:dyDescent="0.25">
      <c r="A263" s="5" t="s">
        <v>3</v>
      </c>
      <c r="B263" s="5" t="s">
        <v>3</v>
      </c>
      <c r="C263" s="5" t="s">
        <v>725</v>
      </c>
      <c r="D263" s="6">
        <v>3649.1</v>
      </c>
      <c r="E263" s="6">
        <v>0</v>
      </c>
      <c r="F263" s="6">
        <f>D263+E263</f>
        <v>3649.1</v>
      </c>
      <c r="G263" s="5" t="s">
        <v>3</v>
      </c>
      <c r="H263" s="5" t="s">
        <v>3</v>
      </c>
    </row>
    <row r="264" spans="1:8" x14ac:dyDescent="0.25">
      <c r="A264" s="5" t="s">
        <v>3</v>
      </c>
      <c r="B264" s="5" t="s">
        <v>3</v>
      </c>
      <c r="C264" s="5" t="s">
        <v>166</v>
      </c>
      <c r="D264" s="6">
        <v>3594</v>
      </c>
      <c r="E264" s="6">
        <v>0</v>
      </c>
      <c r="F264" s="6">
        <f>D264+E264</f>
        <v>3594</v>
      </c>
      <c r="G264" s="5" t="s">
        <v>3</v>
      </c>
      <c r="H264" s="5" t="s">
        <v>3</v>
      </c>
    </row>
    <row r="265" spans="1:8" x14ac:dyDescent="0.25">
      <c r="A265" s="5" t="s">
        <v>3</v>
      </c>
      <c r="B265" s="5" t="s">
        <v>3</v>
      </c>
      <c r="C265" s="5" t="s">
        <v>730</v>
      </c>
      <c r="D265" s="6">
        <v>3500</v>
      </c>
      <c r="E265" s="6">
        <v>0</v>
      </c>
      <c r="F265" s="6">
        <f>D265+E265</f>
        <v>3500</v>
      </c>
      <c r="G265" s="5" t="s">
        <v>3</v>
      </c>
      <c r="H265" s="5" t="s">
        <v>3</v>
      </c>
    </row>
    <row r="266" spans="1:8" x14ac:dyDescent="0.25">
      <c r="A266" s="5" t="s">
        <v>3</v>
      </c>
      <c r="B266" s="5" t="s">
        <v>3</v>
      </c>
      <c r="C266" s="5" t="s">
        <v>729</v>
      </c>
      <c r="D266" s="6">
        <v>3127.8</v>
      </c>
      <c r="E266" s="6">
        <v>0</v>
      </c>
      <c r="F266" s="6">
        <f>D266+E266</f>
        <v>3127.8</v>
      </c>
      <c r="G266" s="5" t="s">
        <v>3</v>
      </c>
      <c r="H266" s="5" t="s">
        <v>3</v>
      </c>
    </row>
    <row r="267" spans="1:8" x14ac:dyDescent="0.25">
      <c r="A267" s="5" t="s">
        <v>3</v>
      </c>
      <c r="B267" s="5" t="s">
        <v>3</v>
      </c>
      <c r="C267" s="5" t="s">
        <v>737</v>
      </c>
      <c r="D267" s="6">
        <v>2900</v>
      </c>
      <c r="E267" s="6">
        <v>0</v>
      </c>
      <c r="F267" s="6">
        <f>D267+E267</f>
        <v>2900</v>
      </c>
      <c r="G267" s="5" t="s">
        <v>3</v>
      </c>
      <c r="H267" s="5" t="s">
        <v>3</v>
      </c>
    </row>
    <row r="268" spans="1:8" x14ac:dyDescent="0.25">
      <c r="A268" s="5" t="s">
        <v>3</v>
      </c>
      <c r="B268" s="5" t="s">
        <v>3</v>
      </c>
      <c r="C268" s="5" t="s">
        <v>298</v>
      </c>
      <c r="D268" s="6">
        <v>2157.69</v>
      </c>
      <c r="E268" s="6">
        <v>0</v>
      </c>
      <c r="F268" s="6">
        <f>D268+E268</f>
        <v>2157.69</v>
      </c>
      <c r="G268" s="5" t="s">
        <v>3</v>
      </c>
      <c r="H268" s="5" t="s">
        <v>3</v>
      </c>
    </row>
    <row r="269" spans="1:8" x14ac:dyDescent="0.25">
      <c r="A269" s="5" t="s">
        <v>3</v>
      </c>
      <c r="B269" s="5" t="s">
        <v>3</v>
      </c>
      <c r="C269" s="5" t="s">
        <v>1095</v>
      </c>
      <c r="D269" s="6">
        <v>1354.84</v>
      </c>
      <c r="E269" s="6">
        <v>0</v>
      </c>
      <c r="F269" s="6">
        <f>D269+E269</f>
        <v>1354.84</v>
      </c>
      <c r="G269" s="5" t="s">
        <v>3</v>
      </c>
      <c r="H269" s="5" t="s">
        <v>3</v>
      </c>
    </row>
    <row r="270" spans="1:8" x14ac:dyDescent="0.25">
      <c r="A270" s="5" t="s">
        <v>3</v>
      </c>
      <c r="B270" s="5" t="s">
        <v>3</v>
      </c>
      <c r="C270" s="5" t="s">
        <v>739</v>
      </c>
      <c r="D270" s="6">
        <v>651</v>
      </c>
      <c r="E270" s="6">
        <v>0</v>
      </c>
      <c r="F270" s="6">
        <f>D270+E270</f>
        <v>651</v>
      </c>
      <c r="G270" s="5" t="s">
        <v>3</v>
      </c>
      <c r="H270" s="5" t="s">
        <v>3</v>
      </c>
    </row>
    <row r="271" spans="1:8" x14ac:dyDescent="0.25">
      <c r="A271" s="5" t="s">
        <v>3</v>
      </c>
      <c r="B271" s="5" t="s">
        <v>3</v>
      </c>
      <c r="C271" s="5" t="s">
        <v>741</v>
      </c>
      <c r="D271" s="6">
        <v>418.1</v>
      </c>
      <c r="E271" s="6">
        <v>0</v>
      </c>
      <c r="F271" s="6">
        <f>D271+E271</f>
        <v>418.1</v>
      </c>
      <c r="G271" s="5" t="s">
        <v>3</v>
      </c>
      <c r="H271" s="5" t="s">
        <v>3</v>
      </c>
    </row>
    <row r="272" spans="1:8" x14ac:dyDescent="0.25">
      <c r="A272" s="5" t="s">
        <v>3</v>
      </c>
      <c r="B272" s="5" t="s">
        <v>3</v>
      </c>
      <c r="C272" s="5" t="s">
        <v>860</v>
      </c>
      <c r="D272" s="6">
        <v>379.24</v>
      </c>
      <c r="E272" s="6">
        <v>0</v>
      </c>
      <c r="F272" s="6">
        <f>D272+E272</f>
        <v>379.24</v>
      </c>
      <c r="G272" s="5" t="s">
        <v>3</v>
      </c>
      <c r="H272" s="5" t="s">
        <v>3</v>
      </c>
    </row>
    <row r="273" spans="1:8" x14ac:dyDescent="0.25">
      <c r="A273" s="5" t="s">
        <v>3</v>
      </c>
      <c r="B273" s="5" t="s">
        <v>3</v>
      </c>
      <c r="C273" s="5" t="s">
        <v>742</v>
      </c>
      <c r="D273" s="6">
        <v>164.85</v>
      </c>
      <c r="E273" s="6">
        <v>0</v>
      </c>
      <c r="F273" s="6">
        <f>D273+E273</f>
        <v>164.85</v>
      </c>
      <c r="G273" s="5" t="s">
        <v>3</v>
      </c>
      <c r="H273" s="5" t="s">
        <v>3</v>
      </c>
    </row>
    <row r="274" spans="1:8" x14ac:dyDescent="0.25">
      <c r="A274" s="5" t="s">
        <v>3</v>
      </c>
      <c r="B274" s="5" t="s">
        <v>3</v>
      </c>
      <c r="C274" s="5" t="s">
        <v>744</v>
      </c>
      <c r="D274" s="6">
        <v>35.9</v>
      </c>
      <c r="E274" s="6">
        <v>0</v>
      </c>
      <c r="F274" s="6">
        <f>D274+E274</f>
        <v>35.9</v>
      </c>
      <c r="G274" s="5" t="s">
        <v>3</v>
      </c>
      <c r="H274" s="5" t="s">
        <v>3</v>
      </c>
    </row>
    <row r="275" spans="1:8" x14ac:dyDescent="0.25">
      <c r="A275" s="24" t="s">
        <v>460</v>
      </c>
      <c r="B275" s="24" t="s">
        <v>461</v>
      </c>
      <c r="C275" s="24" t="s">
        <v>499</v>
      </c>
      <c r="D275" s="27">
        <f>SUM(D276:D276)</f>
        <v>27500</v>
      </c>
      <c r="E275" s="27">
        <f>SUM(E276:E276)</f>
        <v>0</v>
      </c>
      <c r="F275" s="27">
        <f>SUM(F276:F276)</f>
        <v>27500</v>
      </c>
      <c r="G275" s="24" t="s">
        <v>3</v>
      </c>
      <c r="H275" s="24" t="s">
        <v>3</v>
      </c>
    </row>
    <row r="276" spans="1:8" x14ac:dyDescent="0.25">
      <c r="A276" s="5" t="s">
        <v>3</v>
      </c>
      <c r="B276" s="5" t="s">
        <v>3</v>
      </c>
      <c r="C276" s="5" t="s">
        <v>745</v>
      </c>
      <c r="D276" s="6">
        <v>27500</v>
      </c>
      <c r="E276" s="6">
        <v>0</v>
      </c>
      <c r="F276" s="6">
        <f>D276+E276</f>
        <v>27500</v>
      </c>
      <c r="G276" s="5" t="s">
        <v>3</v>
      </c>
      <c r="H276" s="5" t="s">
        <v>3</v>
      </c>
    </row>
    <row r="277" spans="1:8" x14ac:dyDescent="0.25">
      <c r="A277" s="24" t="s">
        <v>462</v>
      </c>
      <c r="B277" s="24" t="s">
        <v>463</v>
      </c>
      <c r="C277" s="24" t="s">
        <v>499</v>
      </c>
      <c r="D277" s="27">
        <f>SUM(D278:D279)</f>
        <v>5780</v>
      </c>
      <c r="E277" s="27">
        <f>SUM(E278:E279)</f>
        <v>0</v>
      </c>
      <c r="F277" s="27">
        <f>SUM(F278:F279)</f>
        <v>5780</v>
      </c>
      <c r="G277" s="24" t="s">
        <v>3</v>
      </c>
      <c r="H277" s="24" t="s">
        <v>3</v>
      </c>
    </row>
    <row r="278" spans="1:8" x14ac:dyDescent="0.25">
      <c r="A278" s="5" t="s">
        <v>3</v>
      </c>
      <c r="B278" s="5" t="s">
        <v>3</v>
      </c>
      <c r="C278" s="5" t="s">
        <v>747</v>
      </c>
      <c r="D278" s="6">
        <v>3600</v>
      </c>
      <c r="E278" s="6">
        <v>0</v>
      </c>
      <c r="F278" s="6">
        <f>D278+E278</f>
        <v>3600</v>
      </c>
      <c r="G278" s="5" t="s">
        <v>3</v>
      </c>
      <c r="H278" s="5" t="s">
        <v>3</v>
      </c>
    </row>
    <row r="279" spans="1:8" x14ac:dyDescent="0.25">
      <c r="A279" s="5" t="s">
        <v>3</v>
      </c>
      <c r="B279" s="5" t="s">
        <v>3</v>
      </c>
      <c r="C279" s="5" t="s">
        <v>748</v>
      </c>
      <c r="D279" s="6">
        <v>2180</v>
      </c>
      <c r="E279" s="6">
        <v>0</v>
      </c>
      <c r="F279" s="6">
        <f>D279+E279</f>
        <v>2180</v>
      </c>
      <c r="G279" s="5" t="s">
        <v>3</v>
      </c>
      <c r="H279" s="5" t="s">
        <v>3</v>
      </c>
    </row>
    <row r="280" spans="1:8" x14ac:dyDescent="0.25">
      <c r="A280" s="24" t="s">
        <v>464</v>
      </c>
      <c r="B280" s="24" t="s">
        <v>465</v>
      </c>
      <c r="C280" s="24" t="s">
        <v>499</v>
      </c>
      <c r="D280" s="27">
        <f>SUM(D281:D281)</f>
        <v>22350.95</v>
      </c>
      <c r="E280" s="27">
        <f>SUM(E281:E281)</f>
        <v>0</v>
      </c>
      <c r="F280" s="27">
        <f>SUM(F281:F281)</f>
        <v>22350.95</v>
      </c>
      <c r="G280" s="24" t="s">
        <v>3</v>
      </c>
      <c r="H280" s="24" t="s">
        <v>3</v>
      </c>
    </row>
    <row r="281" spans="1:8" x14ac:dyDescent="0.25">
      <c r="A281" s="5" t="s">
        <v>3</v>
      </c>
      <c r="B281" s="5" t="s">
        <v>3</v>
      </c>
      <c r="C281" s="5" t="s">
        <v>146</v>
      </c>
      <c r="D281" s="6">
        <v>22350.95</v>
      </c>
      <c r="E281" s="6">
        <v>0</v>
      </c>
      <c r="F281" s="6">
        <f>D281+E281</f>
        <v>22350.95</v>
      </c>
      <c r="G281" s="5" t="s">
        <v>3</v>
      </c>
      <c r="H281" s="5" t="s">
        <v>3</v>
      </c>
    </row>
    <row r="282" spans="1:8" x14ac:dyDescent="0.25">
      <c r="A282" s="24" t="s">
        <v>470</v>
      </c>
      <c r="B282" s="24" t="s">
        <v>471</v>
      </c>
      <c r="C282" s="24" t="s">
        <v>499</v>
      </c>
      <c r="D282" s="27">
        <f>SUM(D283:D283)</f>
        <v>0</v>
      </c>
      <c r="E282" s="27">
        <f>SUM(E283:E283)</f>
        <v>-1797</v>
      </c>
      <c r="F282" s="27">
        <f>SUM(F283:F283)</f>
        <v>-1797</v>
      </c>
      <c r="G282" s="24" t="s">
        <v>3</v>
      </c>
      <c r="H282" s="24" t="s">
        <v>3</v>
      </c>
    </row>
    <row r="283" spans="1:8" x14ac:dyDescent="0.25">
      <c r="A283" s="5" t="s">
        <v>3</v>
      </c>
      <c r="B283" s="5" t="s">
        <v>3</v>
      </c>
      <c r="C283" s="5" t="s">
        <v>166</v>
      </c>
      <c r="D283" s="6">
        <v>0</v>
      </c>
      <c r="E283" s="28">
        <v>-1797</v>
      </c>
      <c r="F283" s="6">
        <f>D283+E283</f>
        <v>-1797</v>
      </c>
      <c r="G283" s="22" t="s">
        <v>80</v>
      </c>
      <c r="H283" s="5" t="s">
        <v>3</v>
      </c>
    </row>
    <row r="284" spans="1:8" x14ac:dyDescent="0.25">
      <c r="A284" s="24" t="s">
        <v>472</v>
      </c>
      <c r="B284" s="24" t="s">
        <v>473</v>
      </c>
      <c r="C284" s="24" t="s">
        <v>499</v>
      </c>
      <c r="D284" s="27">
        <f>SUM(D285:D286)</f>
        <v>1945</v>
      </c>
      <c r="E284" s="27">
        <f>SUM(E285:E286)</f>
        <v>0</v>
      </c>
      <c r="F284" s="27">
        <f>SUM(F285:F286)</f>
        <v>1945</v>
      </c>
      <c r="G284" s="24" t="s">
        <v>3</v>
      </c>
      <c r="H284" s="24" t="s">
        <v>3</v>
      </c>
    </row>
    <row r="285" spans="1:8" x14ac:dyDescent="0.25">
      <c r="A285" s="5" t="s">
        <v>3</v>
      </c>
      <c r="B285" s="5" t="s">
        <v>3</v>
      </c>
      <c r="C285" s="5" t="s">
        <v>1096</v>
      </c>
      <c r="D285" s="6">
        <v>1900</v>
      </c>
      <c r="E285" s="6">
        <v>0</v>
      </c>
      <c r="F285" s="6">
        <f>D285+E285</f>
        <v>1900</v>
      </c>
      <c r="G285" s="5" t="s">
        <v>3</v>
      </c>
      <c r="H285" s="5" t="s">
        <v>3</v>
      </c>
    </row>
    <row r="286" spans="1:8" x14ac:dyDescent="0.25">
      <c r="A286" s="5" t="s">
        <v>3</v>
      </c>
      <c r="B286" s="5" t="s">
        <v>3</v>
      </c>
      <c r="C286" s="5" t="s">
        <v>1097</v>
      </c>
      <c r="D286" s="6">
        <v>45</v>
      </c>
      <c r="E286" s="6">
        <v>0</v>
      </c>
      <c r="F286" s="6">
        <f>D286+E286</f>
        <v>45</v>
      </c>
      <c r="G286" s="5" t="s">
        <v>3</v>
      </c>
      <c r="H286" s="5" t="s">
        <v>3</v>
      </c>
    </row>
    <row r="287" spans="1:8" x14ac:dyDescent="0.25">
      <c r="A287" s="24" t="s">
        <v>474</v>
      </c>
      <c r="B287" s="24" t="s">
        <v>475</v>
      </c>
      <c r="C287" s="24" t="s">
        <v>499</v>
      </c>
      <c r="D287" s="27">
        <f>SUM(D288:D288)</f>
        <v>534</v>
      </c>
      <c r="E287" s="27">
        <f>SUM(E288:E288)</f>
        <v>0</v>
      </c>
      <c r="F287" s="27">
        <f>SUM(F288:F288)</f>
        <v>534</v>
      </c>
      <c r="G287" s="24" t="s">
        <v>3</v>
      </c>
      <c r="H287" s="24" t="s">
        <v>3</v>
      </c>
    </row>
    <row r="288" spans="1:8" x14ac:dyDescent="0.25">
      <c r="A288" s="5" t="s">
        <v>3</v>
      </c>
      <c r="B288" s="5" t="s">
        <v>3</v>
      </c>
      <c r="C288" s="5" t="s">
        <v>42</v>
      </c>
      <c r="D288" s="6">
        <v>534</v>
      </c>
      <c r="E288" s="6">
        <v>0</v>
      </c>
      <c r="F288" s="6">
        <f>D288+E288</f>
        <v>534</v>
      </c>
      <c r="G288" s="5" t="s">
        <v>3</v>
      </c>
      <c r="H288" s="5" t="s">
        <v>3</v>
      </c>
    </row>
    <row r="289" spans="1:8" x14ac:dyDescent="0.25">
      <c r="A289" s="24" t="s">
        <v>476</v>
      </c>
      <c r="B289" s="24" t="s">
        <v>477</v>
      </c>
      <c r="C289" s="24" t="s">
        <v>499</v>
      </c>
      <c r="D289" s="27">
        <f>SUM(D290:D290)</f>
        <v>1555.45</v>
      </c>
      <c r="E289" s="27">
        <f>SUM(E290:E290)</f>
        <v>0</v>
      </c>
      <c r="F289" s="27">
        <f>SUM(F290:F290)</f>
        <v>1555.45</v>
      </c>
      <c r="G289" s="24" t="s">
        <v>3</v>
      </c>
      <c r="H289" s="24" t="s">
        <v>3</v>
      </c>
    </row>
    <row r="290" spans="1:8" x14ac:dyDescent="0.25">
      <c r="A290" s="5" t="s">
        <v>3</v>
      </c>
      <c r="B290" s="5" t="s">
        <v>3</v>
      </c>
      <c r="C290" s="5" t="s">
        <v>1098</v>
      </c>
      <c r="D290" s="6">
        <v>1555.45</v>
      </c>
      <c r="E290" s="6">
        <v>0</v>
      </c>
      <c r="F290" s="6">
        <f>D290+E290</f>
        <v>1555.45</v>
      </c>
      <c r="G290" s="5" t="s">
        <v>3</v>
      </c>
      <c r="H290" s="5" t="s">
        <v>3</v>
      </c>
    </row>
    <row r="291" spans="1:8" x14ac:dyDescent="0.25">
      <c r="A291" s="24" t="s">
        <v>479</v>
      </c>
      <c r="B291" s="24" t="s">
        <v>480</v>
      </c>
      <c r="C291" s="24" t="s">
        <v>499</v>
      </c>
      <c r="D291" s="27">
        <f>SUM(D292:D294)</f>
        <v>4598.61</v>
      </c>
      <c r="E291" s="27">
        <f>SUM(E292:E294)</f>
        <v>0</v>
      </c>
      <c r="F291" s="27">
        <f>SUM(F292:F294)</f>
        <v>4598.61</v>
      </c>
      <c r="G291" s="24" t="s">
        <v>3</v>
      </c>
      <c r="H291" s="24" t="s">
        <v>3</v>
      </c>
    </row>
    <row r="292" spans="1:8" x14ac:dyDescent="0.25">
      <c r="A292" s="5" t="s">
        <v>3</v>
      </c>
      <c r="B292" s="5" t="s">
        <v>3</v>
      </c>
      <c r="C292" s="5" t="s">
        <v>880</v>
      </c>
      <c r="D292" s="6">
        <v>2769.1</v>
      </c>
      <c r="E292" s="6">
        <v>0</v>
      </c>
      <c r="F292" s="6">
        <f>D292+E292</f>
        <v>2769.1</v>
      </c>
      <c r="G292" s="5" t="s">
        <v>3</v>
      </c>
      <c r="H292" s="5" t="s">
        <v>3</v>
      </c>
    </row>
    <row r="293" spans="1:8" x14ac:dyDescent="0.25">
      <c r="A293" s="5" t="s">
        <v>3</v>
      </c>
      <c r="B293" s="5" t="s">
        <v>3</v>
      </c>
      <c r="C293" s="5" t="s">
        <v>1099</v>
      </c>
      <c r="D293" s="6">
        <v>1229.85</v>
      </c>
      <c r="E293" s="6">
        <v>0</v>
      </c>
      <c r="F293" s="6">
        <f>D293+E293</f>
        <v>1229.85</v>
      </c>
      <c r="G293" s="5" t="s">
        <v>3</v>
      </c>
      <c r="H293" s="5" t="s">
        <v>3</v>
      </c>
    </row>
    <row r="294" spans="1:8" x14ac:dyDescent="0.25">
      <c r="A294" s="5" t="s">
        <v>3</v>
      </c>
      <c r="B294" s="5" t="s">
        <v>3</v>
      </c>
      <c r="C294" s="5" t="s">
        <v>881</v>
      </c>
      <c r="D294" s="6">
        <v>599.66</v>
      </c>
      <c r="E294" s="6">
        <v>0</v>
      </c>
      <c r="F294" s="6">
        <f>D294+E294</f>
        <v>599.66</v>
      </c>
      <c r="G294" s="5" t="s">
        <v>3</v>
      </c>
      <c r="H294" s="5" t="s">
        <v>3</v>
      </c>
    </row>
    <row r="295" spans="1:8" x14ac:dyDescent="0.25">
      <c r="A295" s="24" t="s">
        <v>481</v>
      </c>
      <c r="B295" s="24" t="s">
        <v>482</v>
      </c>
      <c r="C295" s="24" t="s">
        <v>499</v>
      </c>
      <c r="D295" s="27">
        <f>SUM(D296:D296)</f>
        <v>474.4</v>
      </c>
      <c r="E295" s="27">
        <f>SUM(E296:E296)</f>
        <v>0</v>
      </c>
      <c r="F295" s="27">
        <f>SUM(F296:F296)</f>
        <v>474.4</v>
      </c>
      <c r="G295" s="24" t="s">
        <v>3</v>
      </c>
      <c r="H295" s="24" t="s">
        <v>3</v>
      </c>
    </row>
    <row r="296" spans="1:8" x14ac:dyDescent="0.25">
      <c r="A296" s="5" t="s">
        <v>3</v>
      </c>
      <c r="B296" s="5" t="s">
        <v>3</v>
      </c>
      <c r="C296" s="5" t="s">
        <v>1100</v>
      </c>
      <c r="D296" s="6">
        <v>474.4</v>
      </c>
      <c r="E296" s="6">
        <v>0</v>
      </c>
      <c r="F296" s="6">
        <f>D296+E296</f>
        <v>474.4</v>
      </c>
      <c r="G296" s="5" t="s">
        <v>3</v>
      </c>
      <c r="H296" s="5" t="s">
        <v>3</v>
      </c>
    </row>
    <row r="298" spans="1:8" x14ac:dyDescent="0.25">
      <c r="A298" s="13" t="s">
        <v>3</v>
      </c>
      <c r="B298" s="13" t="s">
        <v>3</v>
      </c>
      <c r="C298" s="13" t="s">
        <v>484</v>
      </c>
      <c r="D298" s="14">
        <f>D5+D36+D38+D43+D62</f>
        <v>919365.25</v>
      </c>
      <c r="E298" s="14">
        <f>E5+E36+E38+E43+E62</f>
        <v>286844.54</v>
      </c>
      <c r="F298" s="14">
        <f>F5+F36+F38+F43+F62</f>
        <v>1206209.79</v>
      </c>
      <c r="G298" s="13" t="s">
        <v>3</v>
      </c>
      <c r="H298" s="13" t="s">
        <v>3</v>
      </c>
    </row>
    <row r="299" spans="1:8" x14ac:dyDescent="0.25">
      <c r="A299" s="13" t="s">
        <v>3</v>
      </c>
      <c r="B299" s="13" t="s">
        <v>3</v>
      </c>
      <c r="C299" s="13" t="s">
        <v>485</v>
      </c>
      <c r="D299" s="14">
        <f>D72+D74+D76+D78+D83+D109+D113+D116+D118+D122+D132+D136+D138+D142+D144+D147+D149+D154+D157+D160+D165+D167+D169+D182+D184+D186+D188+D190+D192+D194+D197+D204+D206+D275+D277+D280+D282+D284+D287+D289+D291+D295</f>
        <v>2250602.09</v>
      </c>
      <c r="E299" s="14">
        <f>E72+E74+E76+E78+E83+E109+E113+E116+E118+E122+E132+E136+E138+E142+E144+E147+E149+E154+E157+E160+E165+E167+E169+E182+E184+E186+E188+E190+E192+E194+E197+E204+E206+E275+E277+E280+E282+E284+E287+E289+E291+E295</f>
        <v>-40690.82</v>
      </c>
      <c r="F299" s="14">
        <f>F72+F74+F76+F78+F83+F109+F113+F116+F118+F122+F132+F136+F138+F142+F144+F147+F149+F154+F157+F160+F165+F167+F169+F182+F184+F186+F188+F190+F192+F194+F197+F204+F206+F275+F277+F280+F282+F284+F287+F289+F291+F295</f>
        <v>2209911.27</v>
      </c>
      <c r="G299" s="13" t="s">
        <v>3</v>
      </c>
      <c r="H299" s="13" t="s">
        <v>3</v>
      </c>
    </row>
    <row r="300" spans="1:8" x14ac:dyDescent="0.25">
      <c r="A300" s="19" t="s">
        <v>3</v>
      </c>
      <c r="B300" s="19" t="s">
        <v>3</v>
      </c>
      <c r="C300" s="19" t="s">
        <v>773</v>
      </c>
      <c r="D300" s="20">
        <f>D298+D299</f>
        <v>3169967.34</v>
      </c>
      <c r="E300" s="20">
        <f>E298+E299</f>
        <v>246153.72</v>
      </c>
      <c r="F300" s="20">
        <f>F298+F299</f>
        <v>3416121.06</v>
      </c>
      <c r="G300" s="19" t="s">
        <v>3</v>
      </c>
      <c r="H300" s="19" t="s">
        <v>3</v>
      </c>
    </row>
  </sheetData>
  <autoFilter ref="A4:H296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6" customWidth="1"/>
    <col min="4" max="4" width="15" customWidth="1"/>
    <col min="5" max="5" width="14" customWidth="1"/>
    <col min="6" max="6" width="15" customWidth="1"/>
    <col min="7" max="7" width="11" customWidth="1"/>
    <col min="8" max="8" width="70" customWidth="1"/>
  </cols>
  <sheetData>
    <row r="1" ht="26" customHeight="1" spans="1:8" x14ac:dyDescent="0.25">
      <c r="A1" s="1" t="s">
        <v>1101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493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4" t="s">
        <v>360</v>
      </c>
      <c r="B4" s="4" t="s">
        <v>361</v>
      </c>
      <c r="C4" s="4" t="s">
        <v>34</v>
      </c>
      <c r="D4" s="4" t="s">
        <v>494</v>
      </c>
      <c r="E4" s="4" t="s">
        <v>495</v>
      </c>
      <c r="F4" s="4" t="s">
        <v>496</v>
      </c>
      <c r="G4" s="4" t="s">
        <v>497</v>
      </c>
      <c r="H4" s="4" t="s">
        <v>498</v>
      </c>
    </row>
    <row r="5" spans="1:8" x14ac:dyDescent="0.25">
      <c r="A5" s="24" t="s">
        <v>362</v>
      </c>
      <c r="B5" s="24" t="s">
        <v>363</v>
      </c>
      <c r="C5" s="24" t="s">
        <v>499</v>
      </c>
      <c r="D5" s="27">
        <f>SUM(D6:D34)</f>
        <v>265310.42</v>
      </c>
      <c r="E5" s="27">
        <f>SUM(E6:E34)</f>
        <v>144000</v>
      </c>
      <c r="F5" s="27">
        <f>SUM(F6:F34)</f>
        <v>409310.42</v>
      </c>
      <c r="G5" s="24" t="s">
        <v>3</v>
      </c>
      <c r="H5" s="24" t="s">
        <v>3</v>
      </c>
    </row>
    <row r="6" spans="1:8" x14ac:dyDescent="0.25">
      <c r="A6" s="5" t="s">
        <v>3</v>
      </c>
      <c r="B6" s="5" t="s">
        <v>3</v>
      </c>
      <c r="C6" s="5" t="s">
        <v>85</v>
      </c>
      <c r="D6" s="6">
        <v>-35000</v>
      </c>
      <c r="E6" s="14">
        <v>35000</v>
      </c>
      <c r="F6" s="6">
        <f>D6+E6</f>
        <v>0</v>
      </c>
      <c r="G6" s="15" t="s">
        <v>1102</v>
      </c>
      <c r="H6" s="5" t="s">
        <v>3</v>
      </c>
    </row>
    <row r="7" spans="1:8" x14ac:dyDescent="0.25">
      <c r="A7" s="5" t="s">
        <v>3</v>
      </c>
      <c r="B7" s="5" t="s">
        <v>3</v>
      </c>
      <c r="C7" s="5" t="s">
        <v>126</v>
      </c>
      <c r="D7" s="6">
        <v>0</v>
      </c>
      <c r="E7" s="14">
        <v>30000</v>
      </c>
      <c r="F7" s="6">
        <f>D7+E7</f>
        <v>30000</v>
      </c>
      <c r="G7" s="15" t="s">
        <v>1103</v>
      </c>
      <c r="H7" s="5" t="s">
        <v>3</v>
      </c>
    </row>
    <row r="8" spans="1:8" x14ac:dyDescent="0.25">
      <c r="A8" s="5" t="s">
        <v>3</v>
      </c>
      <c r="B8" s="5" t="s">
        <v>3</v>
      </c>
      <c r="C8" s="5" t="s">
        <v>128</v>
      </c>
      <c r="D8" s="6">
        <v>0</v>
      </c>
      <c r="E8" s="14">
        <v>26000</v>
      </c>
      <c r="F8" s="6">
        <f>D8+E8</f>
        <v>26000</v>
      </c>
      <c r="G8" s="15" t="s">
        <v>1104</v>
      </c>
      <c r="H8" s="5" t="s">
        <v>3</v>
      </c>
    </row>
    <row r="9" spans="1:8" x14ac:dyDescent="0.25">
      <c r="A9" s="5" t="s">
        <v>3</v>
      </c>
      <c r="B9" s="5" t="s">
        <v>3</v>
      </c>
      <c r="C9" s="5" t="s">
        <v>72</v>
      </c>
      <c r="D9" s="6">
        <v>0</v>
      </c>
      <c r="E9" s="14">
        <v>22000</v>
      </c>
      <c r="F9" s="6">
        <f>D9+E9</f>
        <v>22000</v>
      </c>
      <c r="G9" s="15" t="s">
        <v>1105</v>
      </c>
      <c r="H9" s="5" t="s">
        <v>3</v>
      </c>
    </row>
    <row r="10" spans="1:8" x14ac:dyDescent="0.25">
      <c r="A10" s="5" t="s">
        <v>3</v>
      </c>
      <c r="B10" s="5" t="s">
        <v>3</v>
      </c>
      <c r="C10" s="5" t="s">
        <v>79</v>
      </c>
      <c r="D10" s="6">
        <v>0</v>
      </c>
      <c r="E10" s="14">
        <v>17500</v>
      </c>
      <c r="F10" s="6">
        <f>D10+E10</f>
        <v>17500</v>
      </c>
      <c r="G10" s="15" t="s">
        <v>1106</v>
      </c>
      <c r="H10" s="5" t="s">
        <v>3</v>
      </c>
    </row>
    <row r="11" spans="1:8" x14ac:dyDescent="0.25">
      <c r="A11" s="5" t="s">
        <v>3</v>
      </c>
      <c r="B11" s="5" t="s">
        <v>3</v>
      </c>
      <c r="C11" s="5" t="s">
        <v>197</v>
      </c>
      <c r="D11" s="6">
        <v>0</v>
      </c>
      <c r="E11" s="14">
        <v>13500</v>
      </c>
      <c r="F11" s="6">
        <f>D11+E11</f>
        <v>13500</v>
      </c>
      <c r="G11" s="15" t="s">
        <v>1107</v>
      </c>
      <c r="H11" s="5" t="s">
        <v>3</v>
      </c>
    </row>
    <row r="12" spans="1:8" x14ac:dyDescent="0.25">
      <c r="A12" s="5" t="s">
        <v>3</v>
      </c>
      <c r="B12" s="5" t="s">
        <v>3</v>
      </c>
      <c r="C12" s="5" t="s">
        <v>503</v>
      </c>
      <c r="D12" s="6">
        <v>50000</v>
      </c>
      <c r="E12" s="6">
        <v>0</v>
      </c>
      <c r="F12" s="6">
        <f>D12+E12</f>
        <v>50000</v>
      </c>
      <c r="G12" s="5" t="s">
        <v>3</v>
      </c>
      <c r="H12" s="5" t="s">
        <v>3</v>
      </c>
    </row>
    <row r="13" spans="1:8" x14ac:dyDescent="0.25">
      <c r="A13" s="5" t="s">
        <v>3</v>
      </c>
      <c r="B13" s="5" t="s">
        <v>3</v>
      </c>
      <c r="C13" s="5" t="s">
        <v>518</v>
      </c>
      <c r="D13" s="6">
        <v>20000</v>
      </c>
      <c r="E13" s="6">
        <v>0</v>
      </c>
      <c r="F13" s="6">
        <f>D13+E13</f>
        <v>20000</v>
      </c>
      <c r="G13" s="5" t="s">
        <v>3</v>
      </c>
      <c r="H13" s="5" t="s">
        <v>3</v>
      </c>
    </row>
    <row r="14" spans="1:8" x14ac:dyDescent="0.25">
      <c r="A14" s="5" t="s">
        <v>3</v>
      </c>
      <c r="B14" s="5" t="s">
        <v>3</v>
      </c>
      <c r="C14" s="5" t="s">
        <v>53</v>
      </c>
      <c r="D14" s="6">
        <v>19000</v>
      </c>
      <c r="E14" s="6">
        <v>0</v>
      </c>
      <c r="F14" s="6">
        <f>D14+E14</f>
        <v>19000</v>
      </c>
      <c r="G14" s="5" t="s">
        <v>3</v>
      </c>
      <c r="H14" s="5" t="s">
        <v>3</v>
      </c>
    </row>
    <row r="15" spans="1:8" x14ac:dyDescent="0.25">
      <c r="A15" s="5" t="s">
        <v>3</v>
      </c>
      <c r="B15" s="5" t="s">
        <v>3</v>
      </c>
      <c r="C15" s="5" t="s">
        <v>506</v>
      </c>
      <c r="D15" s="6">
        <v>18700</v>
      </c>
      <c r="E15" s="6">
        <v>0</v>
      </c>
      <c r="F15" s="6">
        <f>D15+E15</f>
        <v>18700</v>
      </c>
      <c r="G15" s="5" t="s">
        <v>3</v>
      </c>
      <c r="H15" s="5" t="s">
        <v>3</v>
      </c>
    </row>
    <row r="16" spans="1:8" x14ac:dyDescent="0.25">
      <c r="A16" s="5" t="s">
        <v>3</v>
      </c>
      <c r="B16" s="5" t="s">
        <v>3</v>
      </c>
      <c r="C16" s="5" t="s">
        <v>138</v>
      </c>
      <c r="D16" s="6">
        <v>17500</v>
      </c>
      <c r="E16" s="6">
        <v>0</v>
      </c>
      <c r="F16" s="6">
        <f>D16+E16</f>
        <v>17500</v>
      </c>
      <c r="G16" s="5" t="s">
        <v>3</v>
      </c>
      <c r="H16" s="5" t="s">
        <v>3</v>
      </c>
    </row>
    <row r="17" spans="1:8" x14ac:dyDescent="0.25">
      <c r="A17" s="5" t="s">
        <v>3</v>
      </c>
      <c r="B17" s="5" t="s">
        <v>3</v>
      </c>
      <c r="C17" s="5" t="s">
        <v>510</v>
      </c>
      <c r="D17" s="6">
        <v>16000</v>
      </c>
      <c r="E17" s="6">
        <v>0</v>
      </c>
      <c r="F17" s="6">
        <f>D17+E17</f>
        <v>16000</v>
      </c>
      <c r="G17" s="5" t="s">
        <v>3</v>
      </c>
      <c r="H17" s="5" t="s">
        <v>3</v>
      </c>
    </row>
    <row r="18" spans="1:8" x14ac:dyDescent="0.25">
      <c r="A18" s="5" t="s">
        <v>3</v>
      </c>
      <c r="B18" s="5" t="s">
        <v>3</v>
      </c>
      <c r="C18" s="5" t="s">
        <v>508</v>
      </c>
      <c r="D18" s="6">
        <v>15736.75</v>
      </c>
      <c r="E18" s="6">
        <v>0</v>
      </c>
      <c r="F18" s="6">
        <f>D18+E18</f>
        <v>15736.75</v>
      </c>
      <c r="G18" s="5" t="s">
        <v>3</v>
      </c>
      <c r="H18" s="5" t="s">
        <v>3</v>
      </c>
    </row>
    <row r="19" spans="1:8" x14ac:dyDescent="0.25">
      <c r="A19" s="5" t="s">
        <v>3</v>
      </c>
      <c r="B19" s="5" t="s">
        <v>3</v>
      </c>
      <c r="C19" s="5" t="s">
        <v>512</v>
      </c>
      <c r="D19" s="6">
        <v>15253.24</v>
      </c>
      <c r="E19" s="6">
        <v>0</v>
      </c>
      <c r="F19" s="6">
        <f>D19+E19</f>
        <v>15253.24</v>
      </c>
      <c r="G19" s="5" t="s">
        <v>3</v>
      </c>
      <c r="H19" s="5" t="s">
        <v>3</v>
      </c>
    </row>
    <row r="20" spans="1:8" x14ac:dyDescent="0.25">
      <c r="A20" s="5" t="s">
        <v>3</v>
      </c>
      <c r="B20" s="5" t="s">
        <v>3</v>
      </c>
      <c r="C20" s="5" t="s">
        <v>516</v>
      </c>
      <c r="D20" s="6">
        <v>14000</v>
      </c>
      <c r="E20" s="6">
        <v>0</v>
      </c>
      <c r="F20" s="6">
        <f>D20+E20</f>
        <v>14000</v>
      </c>
      <c r="G20" s="5" t="s">
        <v>3</v>
      </c>
      <c r="H20" s="5" t="s">
        <v>3</v>
      </c>
    </row>
    <row r="21" spans="1:8" x14ac:dyDescent="0.25">
      <c r="A21" s="5" t="s">
        <v>3</v>
      </c>
      <c r="B21" s="5" t="s">
        <v>3</v>
      </c>
      <c r="C21" s="5" t="s">
        <v>514</v>
      </c>
      <c r="D21" s="6">
        <v>13500</v>
      </c>
      <c r="E21" s="6">
        <v>0</v>
      </c>
      <c r="F21" s="6">
        <f>D21+E21</f>
        <v>13500</v>
      </c>
      <c r="G21" s="5" t="s">
        <v>3</v>
      </c>
      <c r="H21" s="5" t="s">
        <v>3</v>
      </c>
    </row>
    <row r="22" spans="1:8" x14ac:dyDescent="0.25">
      <c r="A22" s="5" t="s">
        <v>3</v>
      </c>
      <c r="B22" s="5" t="s">
        <v>3</v>
      </c>
      <c r="C22" s="5" t="s">
        <v>526</v>
      </c>
      <c r="D22" s="6">
        <v>13000</v>
      </c>
      <c r="E22" s="6">
        <v>0</v>
      </c>
      <c r="F22" s="6">
        <f>D22+E22</f>
        <v>13000</v>
      </c>
      <c r="G22" s="5" t="s">
        <v>3</v>
      </c>
      <c r="H22" s="5" t="s">
        <v>3</v>
      </c>
    </row>
    <row r="23" spans="1:8" x14ac:dyDescent="0.25">
      <c r="A23" s="5" t="s">
        <v>3</v>
      </c>
      <c r="B23" s="5" t="s">
        <v>3</v>
      </c>
      <c r="C23" s="5" t="s">
        <v>527</v>
      </c>
      <c r="D23" s="6">
        <v>12500</v>
      </c>
      <c r="E23" s="6">
        <v>0</v>
      </c>
      <c r="F23" s="6">
        <f>D23+E23</f>
        <v>12500</v>
      </c>
      <c r="G23" s="5" t="s">
        <v>3</v>
      </c>
      <c r="H23" s="5" t="s">
        <v>3</v>
      </c>
    </row>
    <row r="24" spans="1:8" x14ac:dyDescent="0.25">
      <c r="A24" s="5" t="s">
        <v>3</v>
      </c>
      <c r="B24" s="5" t="s">
        <v>3</v>
      </c>
      <c r="C24" s="5" t="s">
        <v>523</v>
      </c>
      <c r="D24" s="6">
        <v>11000</v>
      </c>
      <c r="E24" s="6">
        <v>0</v>
      </c>
      <c r="F24" s="6">
        <f>D24+E24</f>
        <v>11000</v>
      </c>
      <c r="G24" s="5" t="s">
        <v>3</v>
      </c>
      <c r="H24" s="5" t="s">
        <v>3</v>
      </c>
    </row>
    <row r="25" spans="1:8" x14ac:dyDescent="0.25">
      <c r="A25" s="5" t="s">
        <v>3</v>
      </c>
      <c r="B25" s="5" t="s">
        <v>3</v>
      </c>
      <c r="C25" s="5" t="s">
        <v>528</v>
      </c>
      <c r="D25" s="6">
        <v>10800</v>
      </c>
      <c r="E25" s="6">
        <v>0</v>
      </c>
      <c r="F25" s="6">
        <f>D25+E25</f>
        <v>10800</v>
      </c>
      <c r="G25" s="5" t="s">
        <v>3</v>
      </c>
      <c r="H25" s="5" t="s">
        <v>3</v>
      </c>
    </row>
    <row r="26" spans="1:8" x14ac:dyDescent="0.25">
      <c r="A26" s="5" t="s">
        <v>3</v>
      </c>
      <c r="B26" s="5" t="s">
        <v>3</v>
      </c>
      <c r="C26" s="5" t="s">
        <v>834</v>
      </c>
      <c r="D26" s="6">
        <v>10000</v>
      </c>
      <c r="E26" s="6">
        <v>0</v>
      </c>
      <c r="F26" s="6">
        <f>D26+E26</f>
        <v>10000</v>
      </c>
      <c r="G26" s="5" t="s">
        <v>3</v>
      </c>
      <c r="H26" s="5" t="s">
        <v>3</v>
      </c>
    </row>
    <row r="27" spans="1:8" x14ac:dyDescent="0.25">
      <c r="A27" s="5" t="s">
        <v>3</v>
      </c>
      <c r="B27" s="5" t="s">
        <v>3</v>
      </c>
      <c r="C27" s="5" t="s">
        <v>522</v>
      </c>
      <c r="D27" s="6">
        <v>8064.22</v>
      </c>
      <c r="E27" s="6">
        <v>0</v>
      </c>
      <c r="F27" s="6">
        <f>D27+E27</f>
        <v>8064.22</v>
      </c>
      <c r="G27" s="5" t="s">
        <v>3</v>
      </c>
      <c r="H27" s="5" t="s">
        <v>3</v>
      </c>
    </row>
    <row r="28" spans="1:8" x14ac:dyDescent="0.25">
      <c r="A28" s="5" t="s">
        <v>3</v>
      </c>
      <c r="B28" s="5" t="s">
        <v>3</v>
      </c>
      <c r="C28" s="5" t="s">
        <v>282</v>
      </c>
      <c r="D28" s="6">
        <v>7882.06</v>
      </c>
      <c r="E28" s="6">
        <v>0</v>
      </c>
      <c r="F28" s="6">
        <f>D28+E28</f>
        <v>7882.06</v>
      </c>
      <c r="G28" s="5" t="s">
        <v>3</v>
      </c>
      <c r="H28" s="5" t="s">
        <v>3</v>
      </c>
    </row>
    <row r="29" spans="1:8" x14ac:dyDescent="0.25">
      <c r="A29" s="5" t="s">
        <v>3</v>
      </c>
      <c r="B29" s="5" t="s">
        <v>3</v>
      </c>
      <c r="C29" s="5" t="s">
        <v>539</v>
      </c>
      <c r="D29" s="6">
        <v>7500</v>
      </c>
      <c r="E29" s="6">
        <v>0</v>
      </c>
      <c r="F29" s="6">
        <f>D29+E29</f>
        <v>7500</v>
      </c>
      <c r="G29" s="5" t="s">
        <v>3</v>
      </c>
      <c r="H29" s="5" t="s">
        <v>3</v>
      </c>
    </row>
    <row r="30" spans="1:8" x14ac:dyDescent="0.25">
      <c r="A30" s="5" t="s">
        <v>3</v>
      </c>
      <c r="B30" s="5" t="s">
        <v>3</v>
      </c>
      <c r="C30" s="5" t="s">
        <v>520</v>
      </c>
      <c r="D30" s="6">
        <v>7200.2</v>
      </c>
      <c r="E30" s="6">
        <v>0</v>
      </c>
      <c r="F30" s="6">
        <f>D30+E30</f>
        <v>7200.2</v>
      </c>
      <c r="G30" s="5" t="s">
        <v>3</v>
      </c>
      <c r="H30" s="5" t="s">
        <v>3</v>
      </c>
    </row>
    <row r="31" spans="1:8" x14ac:dyDescent="0.25">
      <c r="A31" s="5" t="s">
        <v>3</v>
      </c>
      <c r="B31" s="5" t="s">
        <v>3</v>
      </c>
      <c r="C31" s="5" t="s">
        <v>535</v>
      </c>
      <c r="D31" s="6">
        <v>4413.95</v>
      </c>
      <c r="E31" s="6">
        <v>0</v>
      </c>
      <c r="F31" s="6">
        <f>D31+E31</f>
        <v>4413.95</v>
      </c>
      <c r="G31" s="5" t="s">
        <v>3</v>
      </c>
      <c r="H31" s="5" t="s">
        <v>3</v>
      </c>
    </row>
    <row r="32" spans="1:8" x14ac:dyDescent="0.25">
      <c r="A32" s="5" t="s">
        <v>3</v>
      </c>
      <c r="B32" s="5" t="s">
        <v>3</v>
      </c>
      <c r="C32" s="5" t="s">
        <v>537</v>
      </c>
      <c r="D32" s="6">
        <v>4000</v>
      </c>
      <c r="E32" s="6">
        <v>0</v>
      </c>
      <c r="F32" s="6">
        <f>D32+E32</f>
        <v>4000</v>
      </c>
      <c r="G32" s="5" t="s">
        <v>3</v>
      </c>
      <c r="H32" s="5" t="s">
        <v>3</v>
      </c>
    </row>
    <row r="33" spans="1:8" x14ac:dyDescent="0.25">
      <c r="A33" s="5" t="s">
        <v>3</v>
      </c>
      <c r="B33" s="5" t="s">
        <v>3</v>
      </c>
      <c r="C33" s="5" t="s">
        <v>1108</v>
      </c>
      <c r="D33" s="6">
        <v>2157.69</v>
      </c>
      <c r="E33" s="6">
        <v>0</v>
      </c>
      <c r="F33" s="6">
        <f>D33+E33</f>
        <v>2157.69</v>
      </c>
      <c r="G33" s="5" t="s">
        <v>3</v>
      </c>
      <c r="H33" s="5" t="s">
        <v>3</v>
      </c>
    </row>
    <row r="34" spans="1:8" x14ac:dyDescent="0.25">
      <c r="A34" s="5" t="s">
        <v>3</v>
      </c>
      <c r="B34" s="5" t="s">
        <v>3</v>
      </c>
      <c r="C34" s="5" t="s">
        <v>298</v>
      </c>
      <c r="D34" s="6">
        <v>2102.31</v>
      </c>
      <c r="E34" s="6">
        <v>0</v>
      </c>
      <c r="F34" s="6">
        <f>D34+E34</f>
        <v>2102.31</v>
      </c>
      <c r="G34" s="5" t="s">
        <v>3</v>
      </c>
      <c r="H34" s="5" t="s">
        <v>3</v>
      </c>
    </row>
    <row r="35" spans="1:8" x14ac:dyDescent="0.25">
      <c r="A35" s="24" t="s">
        <v>364</v>
      </c>
      <c r="B35" s="24" t="s">
        <v>365</v>
      </c>
      <c r="C35" s="24" t="s">
        <v>499</v>
      </c>
      <c r="D35" s="27">
        <f>SUM(D36:D36)</f>
        <v>23802.94</v>
      </c>
      <c r="E35" s="27">
        <f>SUM(E36:E36)</f>
        <v>64434.06</v>
      </c>
      <c r="F35" s="27">
        <f>SUM(F36:F36)</f>
        <v>88237</v>
      </c>
      <c r="G35" s="24" t="s">
        <v>3</v>
      </c>
      <c r="H35" s="24" t="s">
        <v>3</v>
      </c>
    </row>
    <row r="36" spans="1:8" x14ac:dyDescent="0.25">
      <c r="A36" s="5" t="s">
        <v>3</v>
      </c>
      <c r="B36" s="5" t="s">
        <v>3</v>
      </c>
      <c r="C36" s="5" t="s">
        <v>103</v>
      </c>
      <c r="D36" s="6">
        <v>23802.94</v>
      </c>
      <c r="E36" s="10">
        <v>64434.06</v>
      </c>
      <c r="F36" s="6">
        <f>D36+E36</f>
        <v>88237</v>
      </c>
      <c r="G36" s="11" t="s">
        <v>1109</v>
      </c>
      <c r="H36" s="5" t="s">
        <v>3</v>
      </c>
    </row>
    <row r="37" spans="1:8" x14ac:dyDescent="0.25">
      <c r="A37" s="24" t="s">
        <v>366</v>
      </c>
      <c r="B37" s="24" t="s">
        <v>367</v>
      </c>
      <c r="C37" s="24" t="s">
        <v>499</v>
      </c>
      <c r="D37" s="27">
        <f>SUM(D38:D40)</f>
        <v>271058.44</v>
      </c>
      <c r="E37" s="27">
        <f>SUM(E38:E40)</f>
        <v>-1303.57</v>
      </c>
      <c r="F37" s="27">
        <f>SUM(F38:F40)</f>
        <v>269754.87</v>
      </c>
      <c r="G37" s="24" t="s">
        <v>3</v>
      </c>
      <c r="H37" s="24" t="s">
        <v>3</v>
      </c>
    </row>
    <row r="38" spans="1:8" x14ac:dyDescent="0.25">
      <c r="A38" s="5" t="s">
        <v>3</v>
      </c>
      <c r="B38" s="5" t="s">
        <v>3</v>
      </c>
      <c r="C38" s="5" t="s">
        <v>81</v>
      </c>
      <c r="D38" s="6">
        <v>107383.44</v>
      </c>
      <c r="E38" s="29">
        <v>-1303.57</v>
      </c>
      <c r="F38" s="6">
        <f>D38+E38</f>
        <v>106079.87</v>
      </c>
      <c r="G38" s="23" t="s">
        <v>1110</v>
      </c>
      <c r="H38" s="5" t="s">
        <v>3</v>
      </c>
    </row>
    <row r="39" spans="1:8" x14ac:dyDescent="0.25">
      <c r="A39" s="5" t="s">
        <v>3</v>
      </c>
      <c r="B39" s="5" t="s">
        <v>3</v>
      </c>
      <c r="C39" s="5" t="s">
        <v>302</v>
      </c>
      <c r="D39" s="6">
        <v>161612.46</v>
      </c>
      <c r="E39" s="6">
        <v>0</v>
      </c>
      <c r="F39" s="6">
        <f>D39+E39</f>
        <v>161612.46</v>
      </c>
      <c r="G39" s="5" t="s">
        <v>3</v>
      </c>
      <c r="H39" s="5" t="s">
        <v>3</v>
      </c>
    </row>
    <row r="40" spans="1:8" x14ac:dyDescent="0.25">
      <c r="A40" s="5" t="s">
        <v>3</v>
      </c>
      <c r="B40" s="5" t="s">
        <v>3</v>
      </c>
      <c r="C40" s="5" t="s">
        <v>543</v>
      </c>
      <c r="D40" s="6">
        <v>2062.54</v>
      </c>
      <c r="E40" s="6">
        <v>0</v>
      </c>
      <c r="F40" s="6">
        <f>D40+E40</f>
        <v>2062.54</v>
      </c>
      <c r="G40" s="5" t="s">
        <v>3</v>
      </c>
      <c r="H40" s="5" t="s">
        <v>3</v>
      </c>
    </row>
    <row r="41" spans="1:8" x14ac:dyDescent="0.25">
      <c r="A41" s="24" t="s">
        <v>368</v>
      </c>
      <c r="B41" s="24" t="s">
        <v>369</v>
      </c>
      <c r="C41" s="24" t="s">
        <v>499</v>
      </c>
      <c r="D41" s="27">
        <f>SUM(D42:D64)</f>
        <v>385424.66</v>
      </c>
      <c r="E41" s="27">
        <f>SUM(E42:E64)</f>
        <v>0</v>
      </c>
      <c r="F41" s="27">
        <f>SUM(F42:F64)</f>
        <v>385424.66</v>
      </c>
      <c r="G41" s="24" t="s">
        <v>3</v>
      </c>
      <c r="H41" s="24" t="s">
        <v>3</v>
      </c>
    </row>
    <row r="42" spans="1:8" x14ac:dyDescent="0.25">
      <c r="A42" s="5" t="s">
        <v>3</v>
      </c>
      <c r="B42" s="5" t="s">
        <v>3</v>
      </c>
      <c r="C42" s="5" t="s">
        <v>265</v>
      </c>
      <c r="D42" s="6">
        <v>161483.1</v>
      </c>
      <c r="E42" s="6">
        <v>0</v>
      </c>
      <c r="F42" s="6">
        <f>D42+E42</f>
        <v>161483.1</v>
      </c>
      <c r="G42" s="5" t="s">
        <v>3</v>
      </c>
      <c r="H42" s="5" t="s">
        <v>3</v>
      </c>
    </row>
    <row r="43" spans="1:8" x14ac:dyDescent="0.25">
      <c r="A43" s="5" t="s">
        <v>3</v>
      </c>
      <c r="B43" s="5" t="s">
        <v>3</v>
      </c>
      <c r="C43" s="5" t="s">
        <v>270</v>
      </c>
      <c r="D43" s="6">
        <v>102915</v>
      </c>
      <c r="E43" s="6">
        <v>0</v>
      </c>
      <c r="F43" s="6">
        <f>D43+E43</f>
        <v>102915</v>
      </c>
      <c r="G43" s="5" t="s">
        <v>3</v>
      </c>
      <c r="H43" s="5" t="s">
        <v>3</v>
      </c>
    </row>
    <row r="44" spans="1:8" x14ac:dyDescent="0.25">
      <c r="A44" s="5" t="s">
        <v>3</v>
      </c>
      <c r="B44" s="5" t="s">
        <v>3</v>
      </c>
      <c r="C44" s="5" t="s">
        <v>559</v>
      </c>
      <c r="D44" s="6">
        <v>42504</v>
      </c>
      <c r="E44" s="6">
        <v>0</v>
      </c>
      <c r="F44" s="6">
        <f>D44+E44</f>
        <v>42504</v>
      </c>
      <c r="G44" s="5" t="s">
        <v>3</v>
      </c>
      <c r="H44" s="5" t="s">
        <v>3</v>
      </c>
    </row>
    <row r="45" spans="1:8" x14ac:dyDescent="0.25">
      <c r="A45" s="5" t="s">
        <v>3</v>
      </c>
      <c r="B45" s="5" t="s">
        <v>3</v>
      </c>
      <c r="C45" s="5" t="s">
        <v>121</v>
      </c>
      <c r="D45" s="6">
        <v>41990.75</v>
      </c>
      <c r="E45" s="6">
        <v>0</v>
      </c>
      <c r="F45" s="6">
        <f>D45+E45</f>
        <v>41990.75</v>
      </c>
      <c r="G45" s="5" t="s">
        <v>3</v>
      </c>
      <c r="H45" s="5" t="s">
        <v>3</v>
      </c>
    </row>
    <row r="46" spans="1:8" x14ac:dyDescent="0.25">
      <c r="A46" s="5" t="s">
        <v>3</v>
      </c>
      <c r="B46" s="5" t="s">
        <v>3</v>
      </c>
      <c r="C46" s="5" t="s">
        <v>550</v>
      </c>
      <c r="D46" s="6">
        <v>10000</v>
      </c>
      <c r="E46" s="6">
        <v>0</v>
      </c>
      <c r="F46" s="6">
        <f>D46+E46</f>
        <v>10000</v>
      </c>
      <c r="G46" s="5" t="s">
        <v>3</v>
      </c>
      <c r="H46" s="5" t="s">
        <v>3</v>
      </c>
    </row>
    <row r="47" spans="1:8" x14ac:dyDescent="0.25">
      <c r="A47" s="5" t="s">
        <v>3</v>
      </c>
      <c r="B47" s="5" t="s">
        <v>3</v>
      </c>
      <c r="C47" s="5" t="s">
        <v>187</v>
      </c>
      <c r="D47" s="6">
        <v>4578.7</v>
      </c>
      <c r="E47" s="6">
        <v>0</v>
      </c>
      <c r="F47" s="6">
        <f>D47+E47</f>
        <v>4578.7</v>
      </c>
      <c r="G47" s="5" t="s">
        <v>3</v>
      </c>
      <c r="H47" s="5" t="s">
        <v>3</v>
      </c>
    </row>
    <row r="48" spans="1:8" x14ac:dyDescent="0.25">
      <c r="A48" s="5" t="s">
        <v>3</v>
      </c>
      <c r="B48" s="5" t="s">
        <v>3</v>
      </c>
      <c r="C48" s="5" t="s">
        <v>554</v>
      </c>
      <c r="D48" s="6">
        <v>4082.46</v>
      </c>
      <c r="E48" s="6">
        <v>0</v>
      </c>
      <c r="F48" s="6">
        <f>D48+E48</f>
        <v>4082.46</v>
      </c>
      <c r="G48" s="5" t="s">
        <v>3</v>
      </c>
      <c r="H48" s="5" t="s">
        <v>3</v>
      </c>
    </row>
    <row r="49" spans="1:8" x14ac:dyDescent="0.25">
      <c r="A49" s="5" t="s">
        <v>3</v>
      </c>
      <c r="B49" s="5" t="s">
        <v>3</v>
      </c>
      <c r="C49" s="5" t="s">
        <v>1111</v>
      </c>
      <c r="D49" s="6">
        <v>4010.81</v>
      </c>
      <c r="E49" s="6">
        <v>0</v>
      </c>
      <c r="F49" s="6">
        <f>D49+E49</f>
        <v>4010.81</v>
      </c>
      <c r="G49" s="5" t="s">
        <v>3</v>
      </c>
      <c r="H49" s="5" t="s">
        <v>3</v>
      </c>
    </row>
    <row r="50" spans="1:8" x14ac:dyDescent="0.25">
      <c r="A50" s="5" t="s">
        <v>3</v>
      </c>
      <c r="B50" s="5" t="s">
        <v>3</v>
      </c>
      <c r="C50" s="5" t="s">
        <v>551</v>
      </c>
      <c r="D50" s="6">
        <v>3355.87</v>
      </c>
      <c r="E50" s="6">
        <v>0</v>
      </c>
      <c r="F50" s="6">
        <f>D50+E50</f>
        <v>3355.87</v>
      </c>
      <c r="G50" s="5" t="s">
        <v>3</v>
      </c>
      <c r="H50" s="5" t="s">
        <v>3</v>
      </c>
    </row>
    <row r="51" spans="1:8" x14ac:dyDescent="0.25">
      <c r="A51" s="5" t="s">
        <v>3</v>
      </c>
      <c r="B51" s="5" t="s">
        <v>3</v>
      </c>
      <c r="C51" s="5" t="s">
        <v>552</v>
      </c>
      <c r="D51" s="6">
        <v>3000</v>
      </c>
      <c r="E51" s="6">
        <v>0</v>
      </c>
      <c r="F51" s="6">
        <f>D51+E51</f>
        <v>3000</v>
      </c>
      <c r="G51" s="5" t="s">
        <v>3</v>
      </c>
      <c r="H51" s="5" t="s">
        <v>3</v>
      </c>
    </row>
    <row r="52" spans="1:8" x14ac:dyDescent="0.25">
      <c r="A52" s="5" t="s">
        <v>3</v>
      </c>
      <c r="B52" s="5" t="s">
        <v>3</v>
      </c>
      <c r="C52" s="5" t="s">
        <v>558</v>
      </c>
      <c r="D52" s="6">
        <v>2948</v>
      </c>
      <c r="E52" s="6">
        <v>0</v>
      </c>
      <c r="F52" s="6">
        <f>D52+E52</f>
        <v>2948</v>
      </c>
      <c r="G52" s="5" t="s">
        <v>3</v>
      </c>
      <c r="H52" s="5" t="s">
        <v>3</v>
      </c>
    </row>
    <row r="53" spans="1:8" x14ac:dyDescent="0.25">
      <c r="A53" s="5" t="s">
        <v>3</v>
      </c>
      <c r="B53" s="5" t="s">
        <v>3</v>
      </c>
      <c r="C53" s="5" t="s">
        <v>555</v>
      </c>
      <c r="D53" s="6">
        <v>1804.54</v>
      </c>
      <c r="E53" s="6">
        <v>0</v>
      </c>
      <c r="F53" s="6">
        <f>D53+E53</f>
        <v>1804.54</v>
      </c>
      <c r="G53" s="5" t="s">
        <v>3</v>
      </c>
      <c r="H53" s="5" t="s">
        <v>3</v>
      </c>
    </row>
    <row r="54" spans="1:8" x14ac:dyDescent="0.25">
      <c r="A54" s="5" t="s">
        <v>3</v>
      </c>
      <c r="B54" s="5" t="s">
        <v>3</v>
      </c>
      <c r="C54" s="5" t="s">
        <v>556</v>
      </c>
      <c r="D54" s="6">
        <v>1315.25</v>
      </c>
      <c r="E54" s="6">
        <v>0</v>
      </c>
      <c r="F54" s="6">
        <f>D54+E54</f>
        <v>1315.25</v>
      </c>
      <c r="G54" s="5" t="s">
        <v>3</v>
      </c>
      <c r="H54" s="5" t="s">
        <v>3</v>
      </c>
    </row>
    <row r="55" spans="1:8" x14ac:dyDescent="0.25">
      <c r="A55" s="5" t="s">
        <v>3</v>
      </c>
      <c r="B55" s="5" t="s">
        <v>3</v>
      </c>
      <c r="C55" s="5" t="s">
        <v>561</v>
      </c>
      <c r="D55" s="6">
        <v>483.06</v>
      </c>
      <c r="E55" s="6">
        <v>0</v>
      </c>
      <c r="F55" s="6">
        <f>D55+E55</f>
        <v>483.06</v>
      </c>
      <c r="G55" s="5" t="s">
        <v>3</v>
      </c>
      <c r="H55" s="5" t="s">
        <v>3</v>
      </c>
    </row>
    <row r="56" spans="1:8" x14ac:dyDescent="0.25">
      <c r="A56" s="5" t="s">
        <v>3</v>
      </c>
      <c r="B56" s="5" t="s">
        <v>3</v>
      </c>
      <c r="C56" s="5" t="s">
        <v>1112</v>
      </c>
      <c r="D56" s="6">
        <v>213.43</v>
      </c>
      <c r="E56" s="6">
        <v>0</v>
      </c>
      <c r="F56" s="6">
        <f>D56+E56</f>
        <v>213.43</v>
      </c>
      <c r="G56" s="5" t="s">
        <v>3</v>
      </c>
      <c r="H56" s="5" t="s">
        <v>3</v>
      </c>
    </row>
    <row r="57" spans="1:8" x14ac:dyDescent="0.25">
      <c r="A57" s="5" t="s">
        <v>3</v>
      </c>
      <c r="B57" s="5" t="s">
        <v>3</v>
      </c>
      <c r="C57" s="5" t="s">
        <v>797</v>
      </c>
      <c r="D57" s="6">
        <v>153.14</v>
      </c>
      <c r="E57" s="6">
        <v>0</v>
      </c>
      <c r="F57" s="6">
        <f>D57+E57</f>
        <v>153.14</v>
      </c>
      <c r="G57" s="5" t="s">
        <v>3</v>
      </c>
      <c r="H57" s="5" t="s">
        <v>3</v>
      </c>
    </row>
    <row r="58" spans="1:8" x14ac:dyDescent="0.25">
      <c r="A58" s="5" t="s">
        <v>3</v>
      </c>
      <c r="B58" s="5" t="s">
        <v>3</v>
      </c>
      <c r="C58" s="5" t="s">
        <v>799</v>
      </c>
      <c r="D58" s="6">
        <v>139.99</v>
      </c>
      <c r="E58" s="6">
        <v>0</v>
      </c>
      <c r="F58" s="6">
        <f>D58+E58</f>
        <v>139.99</v>
      </c>
      <c r="G58" s="5" t="s">
        <v>3</v>
      </c>
      <c r="H58" s="5" t="s">
        <v>3</v>
      </c>
    </row>
    <row r="59" spans="1:8" x14ac:dyDescent="0.25">
      <c r="A59" s="5" t="s">
        <v>3</v>
      </c>
      <c r="B59" s="5" t="s">
        <v>3</v>
      </c>
      <c r="C59" s="5" t="s">
        <v>565</v>
      </c>
      <c r="D59" s="6">
        <v>129.32</v>
      </c>
      <c r="E59" s="6">
        <v>0</v>
      </c>
      <c r="F59" s="6">
        <f>D59+E59</f>
        <v>129.32</v>
      </c>
      <c r="G59" s="5" t="s">
        <v>3</v>
      </c>
      <c r="H59" s="5" t="s">
        <v>3</v>
      </c>
    </row>
    <row r="60" spans="1:8" x14ac:dyDescent="0.25">
      <c r="A60" s="5" t="s">
        <v>3</v>
      </c>
      <c r="B60" s="5" t="s">
        <v>3</v>
      </c>
      <c r="C60" s="5" t="s">
        <v>1113</v>
      </c>
      <c r="D60" s="6">
        <v>126.61</v>
      </c>
      <c r="E60" s="6">
        <v>0</v>
      </c>
      <c r="F60" s="6">
        <f>D60+E60</f>
        <v>126.61</v>
      </c>
      <c r="G60" s="5" t="s">
        <v>3</v>
      </c>
      <c r="H60" s="5" t="s">
        <v>3</v>
      </c>
    </row>
    <row r="61" spans="1:8" x14ac:dyDescent="0.25">
      <c r="A61" s="5" t="s">
        <v>3</v>
      </c>
      <c r="B61" s="5" t="s">
        <v>3</v>
      </c>
      <c r="C61" s="5" t="s">
        <v>800</v>
      </c>
      <c r="D61" s="6">
        <v>107.73</v>
      </c>
      <c r="E61" s="6">
        <v>0</v>
      </c>
      <c r="F61" s="6">
        <f>D61+E61</f>
        <v>107.73</v>
      </c>
      <c r="G61" s="5" t="s">
        <v>3</v>
      </c>
      <c r="H61" s="5" t="s">
        <v>3</v>
      </c>
    </row>
    <row r="62" spans="1:8" x14ac:dyDescent="0.25">
      <c r="A62" s="5" t="s">
        <v>3</v>
      </c>
      <c r="B62" s="5" t="s">
        <v>3</v>
      </c>
      <c r="C62" s="5" t="s">
        <v>1114</v>
      </c>
      <c r="D62" s="6">
        <v>53.87</v>
      </c>
      <c r="E62" s="6">
        <v>0</v>
      </c>
      <c r="F62" s="6">
        <f>D62+E62</f>
        <v>53.87</v>
      </c>
      <c r="G62" s="5" t="s">
        <v>3</v>
      </c>
      <c r="H62" s="5" t="s">
        <v>3</v>
      </c>
    </row>
    <row r="63" spans="1:8" x14ac:dyDescent="0.25">
      <c r="A63" s="5" t="s">
        <v>3</v>
      </c>
      <c r="B63" s="5" t="s">
        <v>3</v>
      </c>
      <c r="C63" s="5" t="s">
        <v>570</v>
      </c>
      <c r="D63" s="6">
        <v>29</v>
      </c>
      <c r="E63" s="6">
        <v>0</v>
      </c>
      <c r="F63" s="6">
        <f>D63+E63</f>
        <v>29</v>
      </c>
      <c r="G63" s="5" t="s">
        <v>3</v>
      </c>
      <c r="H63" s="5" t="s">
        <v>3</v>
      </c>
    </row>
    <row r="64" spans="1:8" x14ac:dyDescent="0.25">
      <c r="A64" s="5" t="s">
        <v>3</v>
      </c>
      <c r="B64" s="5" t="s">
        <v>3</v>
      </c>
      <c r="C64" s="5" t="s">
        <v>548</v>
      </c>
      <c r="D64" s="6">
        <v>0.03</v>
      </c>
      <c r="E64" s="6">
        <v>0</v>
      </c>
      <c r="F64" s="6">
        <f>D64+E64</f>
        <v>0.03</v>
      </c>
      <c r="G64" s="5" t="s">
        <v>3</v>
      </c>
      <c r="H64" s="5" t="s">
        <v>3</v>
      </c>
    </row>
    <row r="65" spans="1:8" x14ac:dyDescent="0.25">
      <c r="A65" s="24" t="s">
        <v>370</v>
      </c>
      <c r="B65" s="24" t="s">
        <v>371</v>
      </c>
      <c r="C65" s="24" t="s">
        <v>499</v>
      </c>
      <c r="D65" s="27">
        <f>SUM(D66:D74)</f>
        <v>111550.43</v>
      </c>
      <c r="E65" s="27">
        <f>SUM(E66:E74)</f>
        <v>-36121.05</v>
      </c>
      <c r="F65" s="27">
        <f>SUM(F66:F74)</f>
        <v>75429.38</v>
      </c>
      <c r="G65" s="24" t="s">
        <v>3</v>
      </c>
      <c r="H65" s="24" t="s">
        <v>3</v>
      </c>
    </row>
    <row r="66" spans="1:8" x14ac:dyDescent="0.25">
      <c r="A66" s="5" t="s">
        <v>3</v>
      </c>
      <c r="B66" s="5" t="s">
        <v>3</v>
      </c>
      <c r="C66" s="5" t="s">
        <v>180</v>
      </c>
      <c r="D66" s="6">
        <v>120785.2</v>
      </c>
      <c r="E66" s="29">
        <v>-75911.26</v>
      </c>
      <c r="F66" s="6">
        <f>D66+E66</f>
        <v>44873.94</v>
      </c>
      <c r="G66" s="23" t="s">
        <v>1115</v>
      </c>
      <c r="H66" s="5" t="s">
        <v>3</v>
      </c>
    </row>
    <row r="67" spans="1:8" x14ac:dyDescent="0.25">
      <c r="A67" s="5" t="s">
        <v>3</v>
      </c>
      <c r="B67" s="5" t="s">
        <v>3</v>
      </c>
      <c r="C67" s="5" t="s">
        <v>131</v>
      </c>
      <c r="D67" s="6">
        <v>-8404</v>
      </c>
      <c r="E67" s="14">
        <v>28087.17</v>
      </c>
      <c r="F67" s="6">
        <f>D67+E67</f>
        <v>19683.17</v>
      </c>
      <c r="G67" s="15" t="s">
        <v>1116</v>
      </c>
      <c r="H67" s="5" t="s">
        <v>3</v>
      </c>
    </row>
    <row r="68" spans="1:8" x14ac:dyDescent="0.25">
      <c r="A68" s="5" t="s">
        <v>3</v>
      </c>
      <c r="B68" s="5" t="s">
        <v>3</v>
      </c>
      <c r="C68" s="5" t="s">
        <v>199</v>
      </c>
      <c r="D68" s="6">
        <v>0</v>
      </c>
      <c r="E68" s="14">
        <v>11703.04</v>
      </c>
      <c r="F68" s="6">
        <f>D68+E68</f>
        <v>11703.04</v>
      </c>
      <c r="G68" s="15" t="s">
        <v>1117</v>
      </c>
      <c r="H68" s="5" t="s">
        <v>3</v>
      </c>
    </row>
    <row r="69" spans="1:8" x14ac:dyDescent="0.25">
      <c r="A69" s="5" t="s">
        <v>3</v>
      </c>
      <c r="B69" s="5" t="s">
        <v>3</v>
      </c>
      <c r="C69" s="5" t="s">
        <v>270</v>
      </c>
      <c r="D69" s="6">
        <v>-19241</v>
      </c>
      <c r="E69" s="6">
        <v>0</v>
      </c>
      <c r="F69" s="6">
        <f>D69+E69</f>
        <v>-19241</v>
      </c>
      <c r="G69" s="5" t="s">
        <v>3</v>
      </c>
      <c r="H69" s="5" t="s">
        <v>3</v>
      </c>
    </row>
    <row r="70" spans="1:8" x14ac:dyDescent="0.25">
      <c r="A70" s="5" t="s">
        <v>3</v>
      </c>
      <c r="B70" s="5" t="s">
        <v>3</v>
      </c>
      <c r="C70" s="5" t="s">
        <v>265</v>
      </c>
      <c r="D70" s="6">
        <v>11483</v>
      </c>
      <c r="E70" s="6">
        <v>0</v>
      </c>
      <c r="F70" s="6">
        <f>D70+E70</f>
        <v>11483</v>
      </c>
      <c r="G70" s="5" t="s">
        <v>3</v>
      </c>
      <c r="H70" s="5" t="s">
        <v>3</v>
      </c>
    </row>
    <row r="71" spans="1:8" x14ac:dyDescent="0.25">
      <c r="A71" s="5" t="s">
        <v>3</v>
      </c>
      <c r="B71" s="5" t="s">
        <v>3</v>
      </c>
      <c r="C71" s="5" t="s">
        <v>121</v>
      </c>
      <c r="D71" s="6">
        <v>-7005</v>
      </c>
      <c r="E71" s="6">
        <v>0</v>
      </c>
      <c r="F71" s="6">
        <f>D71+E71</f>
        <v>-7005</v>
      </c>
      <c r="G71" s="5" t="s">
        <v>3</v>
      </c>
      <c r="H71" s="5" t="s">
        <v>3</v>
      </c>
    </row>
    <row r="72" spans="1:8" x14ac:dyDescent="0.25">
      <c r="A72" s="5" t="s">
        <v>3</v>
      </c>
      <c r="B72" s="5" t="s">
        <v>3</v>
      </c>
      <c r="C72" s="5" t="s">
        <v>790</v>
      </c>
      <c r="D72" s="6">
        <v>6226.92</v>
      </c>
      <c r="E72" s="6">
        <v>0</v>
      </c>
      <c r="F72" s="6">
        <f>D72+E72</f>
        <v>6226.92</v>
      </c>
      <c r="G72" s="5" t="s">
        <v>3</v>
      </c>
      <c r="H72" s="5" t="s">
        <v>3</v>
      </c>
    </row>
    <row r="73" spans="1:8" x14ac:dyDescent="0.25">
      <c r="A73" s="5" t="s">
        <v>3</v>
      </c>
      <c r="B73" s="5" t="s">
        <v>3</v>
      </c>
      <c r="C73" s="5" t="s">
        <v>306</v>
      </c>
      <c r="D73" s="6">
        <v>4859.4</v>
      </c>
      <c r="E73" s="6">
        <v>0</v>
      </c>
      <c r="F73" s="6">
        <f>D73+E73</f>
        <v>4859.4</v>
      </c>
      <c r="G73" s="5" t="s">
        <v>3</v>
      </c>
      <c r="H73" s="5" t="s">
        <v>3</v>
      </c>
    </row>
    <row r="74" spans="1:8" x14ac:dyDescent="0.25">
      <c r="A74" s="5" t="s">
        <v>3</v>
      </c>
      <c r="B74" s="5" t="s">
        <v>3</v>
      </c>
      <c r="C74" s="5" t="s">
        <v>572</v>
      </c>
      <c r="D74" s="6">
        <v>2845.91</v>
      </c>
      <c r="E74" s="6">
        <v>0</v>
      </c>
      <c r="F74" s="6">
        <f>D74+E74</f>
        <v>2845.91</v>
      </c>
      <c r="G74" s="5" t="s">
        <v>3</v>
      </c>
      <c r="H74" s="5" t="s">
        <v>3</v>
      </c>
    </row>
    <row r="75" spans="1:8" x14ac:dyDescent="0.25">
      <c r="A75" s="24" t="s">
        <v>374</v>
      </c>
      <c r="B75" s="24" t="s">
        <v>375</v>
      </c>
      <c r="C75" s="24" t="s">
        <v>499</v>
      </c>
      <c r="D75" s="27">
        <f>SUM(D76:D76)</f>
        <v>1500</v>
      </c>
      <c r="E75" s="27">
        <f>SUM(E76:E76)</f>
        <v>0</v>
      </c>
      <c r="F75" s="27">
        <f>SUM(F76:F76)</f>
        <v>1500</v>
      </c>
      <c r="G75" s="24" t="s">
        <v>3</v>
      </c>
      <c r="H75" s="24" t="s">
        <v>3</v>
      </c>
    </row>
    <row r="76" spans="1:8" x14ac:dyDescent="0.25">
      <c r="A76" s="5" t="s">
        <v>3</v>
      </c>
      <c r="B76" s="5" t="s">
        <v>3</v>
      </c>
      <c r="C76" s="5" t="s">
        <v>1118</v>
      </c>
      <c r="D76" s="6">
        <v>1500</v>
      </c>
      <c r="E76" s="6">
        <v>0</v>
      </c>
      <c r="F76" s="6">
        <f>D76+E76</f>
        <v>1500</v>
      </c>
      <c r="G76" s="5" t="s">
        <v>3</v>
      </c>
      <c r="H76" s="5" t="s">
        <v>3</v>
      </c>
    </row>
    <row r="77" spans="1:8" x14ac:dyDescent="0.25">
      <c r="A77" s="24" t="s">
        <v>376</v>
      </c>
      <c r="B77" s="24" t="s">
        <v>377</v>
      </c>
      <c r="C77" s="24" t="s">
        <v>499</v>
      </c>
      <c r="D77" s="27">
        <f>SUM(D78:D78)</f>
        <v>125</v>
      </c>
      <c r="E77" s="27">
        <f>SUM(E78:E78)</f>
        <v>0</v>
      </c>
      <c r="F77" s="27">
        <f>SUM(F78:F78)</f>
        <v>125</v>
      </c>
      <c r="G77" s="24" t="s">
        <v>3</v>
      </c>
      <c r="H77" s="24" t="s">
        <v>3</v>
      </c>
    </row>
    <row r="78" spans="1:8" x14ac:dyDescent="0.25">
      <c r="A78" s="5" t="s">
        <v>3</v>
      </c>
      <c r="B78" s="5" t="s">
        <v>3</v>
      </c>
      <c r="C78" s="5" t="s">
        <v>1119</v>
      </c>
      <c r="D78" s="6">
        <v>125</v>
      </c>
      <c r="E78" s="6">
        <v>0</v>
      </c>
      <c r="F78" s="6">
        <f>D78+E78</f>
        <v>125</v>
      </c>
      <c r="G78" s="5" t="s">
        <v>3</v>
      </c>
      <c r="H78" s="5" t="s">
        <v>3</v>
      </c>
    </row>
    <row r="79" spans="1:8" x14ac:dyDescent="0.25">
      <c r="A79" s="24" t="s">
        <v>378</v>
      </c>
      <c r="B79" s="24" t="s">
        <v>379</v>
      </c>
      <c r="C79" s="24" t="s">
        <v>499</v>
      </c>
      <c r="D79" s="27">
        <f>SUM(D80:D81)</f>
        <v>345.42</v>
      </c>
      <c r="E79" s="27">
        <f>SUM(E80:E81)</f>
        <v>0</v>
      </c>
      <c r="F79" s="27">
        <f>SUM(F80:F81)</f>
        <v>345.42</v>
      </c>
      <c r="G79" s="24" t="s">
        <v>3</v>
      </c>
      <c r="H79" s="24" t="s">
        <v>3</v>
      </c>
    </row>
    <row r="80" spans="1:8" x14ac:dyDescent="0.25">
      <c r="A80" s="5" t="s">
        <v>3</v>
      </c>
      <c r="B80" s="5" t="s">
        <v>3</v>
      </c>
      <c r="C80" s="5" t="s">
        <v>582</v>
      </c>
      <c r="D80" s="6">
        <v>235.52</v>
      </c>
      <c r="E80" s="6">
        <v>0</v>
      </c>
      <c r="F80" s="6">
        <f>D80+E80</f>
        <v>235.52</v>
      </c>
      <c r="G80" s="5" t="s">
        <v>3</v>
      </c>
      <c r="H80" s="5" t="s">
        <v>3</v>
      </c>
    </row>
    <row r="81" spans="1:8" x14ac:dyDescent="0.25">
      <c r="A81" s="5" t="s">
        <v>3</v>
      </c>
      <c r="B81" s="5" t="s">
        <v>3</v>
      </c>
      <c r="C81" s="5" t="s">
        <v>742</v>
      </c>
      <c r="D81" s="6">
        <v>109.9</v>
      </c>
      <c r="E81" s="6">
        <v>0</v>
      </c>
      <c r="F81" s="6">
        <f>D81+E81</f>
        <v>109.9</v>
      </c>
      <c r="G81" s="5" t="s">
        <v>3</v>
      </c>
      <c r="H81" s="5" t="s">
        <v>3</v>
      </c>
    </row>
    <row r="82" spans="1:8" x14ac:dyDescent="0.25">
      <c r="A82" s="24" t="s">
        <v>380</v>
      </c>
      <c r="B82" s="24" t="s">
        <v>381</v>
      </c>
      <c r="C82" s="24" t="s">
        <v>499</v>
      </c>
      <c r="D82" s="27">
        <f>SUM(D83:D84)</f>
        <v>1744.29</v>
      </c>
      <c r="E82" s="27">
        <f>SUM(E83:E84)</f>
        <v>0</v>
      </c>
      <c r="F82" s="27">
        <f>SUM(F83:F84)</f>
        <v>1744.29</v>
      </c>
      <c r="G82" s="24" t="s">
        <v>3</v>
      </c>
      <c r="H82" s="24" t="s">
        <v>3</v>
      </c>
    </row>
    <row r="83" spans="1:8" x14ac:dyDescent="0.25">
      <c r="A83" s="5" t="s">
        <v>3</v>
      </c>
      <c r="B83" s="5" t="s">
        <v>3</v>
      </c>
      <c r="C83" s="5" t="s">
        <v>881</v>
      </c>
      <c r="D83" s="6">
        <v>1604.39</v>
      </c>
      <c r="E83" s="6">
        <v>0</v>
      </c>
      <c r="F83" s="6">
        <f>D83+E83</f>
        <v>1604.39</v>
      </c>
      <c r="G83" s="5" t="s">
        <v>3</v>
      </c>
      <c r="H83" s="5" t="s">
        <v>3</v>
      </c>
    </row>
    <row r="84" spans="1:8" x14ac:dyDescent="0.25">
      <c r="A84" s="5" t="s">
        <v>3</v>
      </c>
      <c r="B84" s="5" t="s">
        <v>3</v>
      </c>
      <c r="C84" s="5" t="s">
        <v>640</v>
      </c>
      <c r="D84" s="6">
        <v>139.9</v>
      </c>
      <c r="E84" s="6">
        <v>0</v>
      </c>
      <c r="F84" s="6">
        <f>D84+E84</f>
        <v>139.9</v>
      </c>
      <c r="G84" s="5" t="s">
        <v>3</v>
      </c>
      <c r="H84" s="5" t="s">
        <v>3</v>
      </c>
    </row>
    <row r="85" spans="1:8" x14ac:dyDescent="0.25">
      <c r="A85" s="24" t="s">
        <v>382</v>
      </c>
      <c r="B85" s="24" t="s">
        <v>383</v>
      </c>
      <c r="C85" s="24" t="s">
        <v>499</v>
      </c>
      <c r="D85" s="27">
        <f>SUM(D86:D113)</f>
        <v>258182.39</v>
      </c>
      <c r="E85" s="27">
        <f>SUM(E86:E113)</f>
        <v>0</v>
      </c>
      <c r="F85" s="27">
        <f>SUM(F86:F113)</f>
        <v>258182.39</v>
      </c>
      <c r="G85" s="24" t="s">
        <v>3</v>
      </c>
      <c r="H85" s="24" t="s">
        <v>3</v>
      </c>
    </row>
    <row r="86" spans="1:8" x14ac:dyDescent="0.25">
      <c r="A86" s="5" t="s">
        <v>3</v>
      </c>
      <c r="B86" s="5" t="s">
        <v>3</v>
      </c>
      <c r="C86" s="5" t="s">
        <v>182</v>
      </c>
      <c r="D86" s="6">
        <v>68263.43</v>
      </c>
      <c r="E86" s="6">
        <v>0</v>
      </c>
      <c r="F86" s="6">
        <f>D86+E86</f>
        <v>68263.43</v>
      </c>
      <c r="G86" s="5" t="s">
        <v>3</v>
      </c>
      <c r="H86" s="5" t="s">
        <v>3</v>
      </c>
    </row>
    <row r="87" spans="1:8" x14ac:dyDescent="0.25">
      <c r="A87" s="5" t="s">
        <v>3</v>
      </c>
      <c r="B87" s="5" t="s">
        <v>3</v>
      </c>
      <c r="C87" s="5" t="s">
        <v>589</v>
      </c>
      <c r="D87" s="6">
        <v>66947.53</v>
      </c>
      <c r="E87" s="6">
        <v>0</v>
      </c>
      <c r="F87" s="6">
        <f>D87+E87</f>
        <v>66947.53</v>
      </c>
      <c r="G87" s="5" t="s">
        <v>3</v>
      </c>
      <c r="H87" s="5" t="s">
        <v>3</v>
      </c>
    </row>
    <row r="88" spans="1:8" x14ac:dyDescent="0.25">
      <c r="A88" s="5" t="s">
        <v>3</v>
      </c>
      <c r="B88" s="5" t="s">
        <v>3</v>
      </c>
      <c r="C88" s="5" t="s">
        <v>215</v>
      </c>
      <c r="D88" s="6">
        <v>56614</v>
      </c>
      <c r="E88" s="6">
        <v>0</v>
      </c>
      <c r="F88" s="6">
        <f>D88+E88</f>
        <v>56614</v>
      </c>
      <c r="G88" s="5" t="s">
        <v>3</v>
      </c>
      <c r="H88" s="5" t="s">
        <v>3</v>
      </c>
    </row>
    <row r="89" spans="1:8" x14ac:dyDescent="0.25">
      <c r="A89" s="5" t="s">
        <v>3</v>
      </c>
      <c r="B89" s="5" t="s">
        <v>3</v>
      </c>
      <c r="C89" s="5" t="s">
        <v>162</v>
      </c>
      <c r="D89" s="6">
        <v>18624.96</v>
      </c>
      <c r="E89" s="6">
        <v>0</v>
      </c>
      <c r="F89" s="6">
        <f>D89+E89</f>
        <v>18624.96</v>
      </c>
      <c r="G89" s="5" t="s">
        <v>3</v>
      </c>
      <c r="H89" s="5" t="s">
        <v>3</v>
      </c>
    </row>
    <row r="90" spans="1:8" x14ac:dyDescent="0.25">
      <c r="A90" s="5" t="s">
        <v>3</v>
      </c>
      <c r="B90" s="5" t="s">
        <v>3</v>
      </c>
      <c r="C90" s="5" t="s">
        <v>590</v>
      </c>
      <c r="D90" s="6">
        <v>10503.42</v>
      </c>
      <c r="E90" s="6">
        <v>0</v>
      </c>
      <c r="F90" s="6">
        <f>D90+E90</f>
        <v>10503.42</v>
      </c>
      <c r="G90" s="5" t="s">
        <v>3</v>
      </c>
      <c r="H90" s="5" t="s">
        <v>3</v>
      </c>
    </row>
    <row r="91" spans="1:8" x14ac:dyDescent="0.25">
      <c r="A91" s="5" t="s">
        <v>3</v>
      </c>
      <c r="B91" s="5" t="s">
        <v>3</v>
      </c>
      <c r="C91" s="5" t="s">
        <v>597</v>
      </c>
      <c r="D91" s="6">
        <v>8903.4</v>
      </c>
      <c r="E91" s="6">
        <v>0</v>
      </c>
      <c r="F91" s="6">
        <f>D91+E91</f>
        <v>8903.4</v>
      </c>
      <c r="G91" s="5" t="s">
        <v>3</v>
      </c>
      <c r="H91" s="5" t="s">
        <v>3</v>
      </c>
    </row>
    <row r="92" spans="1:8" x14ac:dyDescent="0.25">
      <c r="A92" s="5" t="s">
        <v>3</v>
      </c>
      <c r="B92" s="5" t="s">
        <v>3</v>
      </c>
      <c r="C92" s="5" t="s">
        <v>593</v>
      </c>
      <c r="D92" s="6">
        <v>5802.46</v>
      </c>
      <c r="E92" s="6">
        <v>0</v>
      </c>
      <c r="F92" s="6">
        <f>D92+E92</f>
        <v>5802.46</v>
      </c>
      <c r="G92" s="5" t="s">
        <v>3</v>
      </c>
      <c r="H92" s="5" t="s">
        <v>3</v>
      </c>
    </row>
    <row r="93" spans="1:8" x14ac:dyDescent="0.25">
      <c r="A93" s="5" t="s">
        <v>3</v>
      </c>
      <c r="B93" s="5" t="s">
        <v>3</v>
      </c>
      <c r="C93" s="5" t="s">
        <v>600</v>
      </c>
      <c r="D93" s="6">
        <v>5422.7</v>
      </c>
      <c r="E93" s="6">
        <v>0</v>
      </c>
      <c r="F93" s="6">
        <f>D93+E93</f>
        <v>5422.7</v>
      </c>
      <c r="G93" s="5" t="s">
        <v>3</v>
      </c>
      <c r="H93" s="5" t="s">
        <v>3</v>
      </c>
    </row>
    <row r="94" spans="1:8" x14ac:dyDescent="0.25">
      <c r="A94" s="5" t="s">
        <v>3</v>
      </c>
      <c r="B94" s="5" t="s">
        <v>3</v>
      </c>
      <c r="C94" s="5" t="s">
        <v>149</v>
      </c>
      <c r="D94" s="6">
        <v>5000</v>
      </c>
      <c r="E94" s="6">
        <v>0</v>
      </c>
      <c r="F94" s="6">
        <f>D94+E94</f>
        <v>5000</v>
      </c>
      <c r="G94" s="5" t="s">
        <v>3</v>
      </c>
      <c r="H94" s="5" t="s">
        <v>3</v>
      </c>
    </row>
    <row r="95" spans="1:8" x14ac:dyDescent="0.25">
      <c r="A95" s="5" t="s">
        <v>3</v>
      </c>
      <c r="B95" s="5" t="s">
        <v>3</v>
      </c>
      <c r="C95" s="5" t="s">
        <v>99</v>
      </c>
      <c r="D95" s="6">
        <v>3200.19</v>
      </c>
      <c r="E95" s="6">
        <v>0</v>
      </c>
      <c r="F95" s="6">
        <f>D95+E95</f>
        <v>3200.19</v>
      </c>
      <c r="G95" s="5" t="s">
        <v>3</v>
      </c>
      <c r="H95" s="5" t="s">
        <v>3</v>
      </c>
    </row>
    <row r="96" spans="1:8" x14ac:dyDescent="0.25">
      <c r="A96" s="5" t="s">
        <v>3</v>
      </c>
      <c r="B96" s="5" t="s">
        <v>3</v>
      </c>
      <c r="C96" s="5" t="s">
        <v>190</v>
      </c>
      <c r="D96" s="6">
        <v>2213.63</v>
      </c>
      <c r="E96" s="6">
        <v>0</v>
      </c>
      <c r="F96" s="6">
        <f>D96+E96</f>
        <v>2213.63</v>
      </c>
      <c r="G96" s="5" t="s">
        <v>3</v>
      </c>
      <c r="H96" s="5" t="s">
        <v>3</v>
      </c>
    </row>
    <row r="97" spans="1:8" x14ac:dyDescent="0.25">
      <c r="A97" s="5" t="s">
        <v>3</v>
      </c>
      <c r="B97" s="5" t="s">
        <v>3</v>
      </c>
      <c r="C97" s="5" t="s">
        <v>785</v>
      </c>
      <c r="D97" s="6">
        <v>1595.22</v>
      </c>
      <c r="E97" s="6">
        <v>0</v>
      </c>
      <c r="F97" s="6">
        <f>D97+E97</f>
        <v>1595.22</v>
      </c>
      <c r="G97" s="5" t="s">
        <v>3</v>
      </c>
      <c r="H97" s="5" t="s">
        <v>3</v>
      </c>
    </row>
    <row r="98" spans="1:8" x14ac:dyDescent="0.25">
      <c r="A98" s="5" t="s">
        <v>3</v>
      </c>
      <c r="B98" s="5" t="s">
        <v>3</v>
      </c>
      <c r="C98" s="5" t="s">
        <v>601</v>
      </c>
      <c r="D98" s="6">
        <v>1304</v>
      </c>
      <c r="E98" s="6">
        <v>0</v>
      </c>
      <c r="F98" s="6">
        <f>D98+E98</f>
        <v>1304</v>
      </c>
      <c r="G98" s="5" t="s">
        <v>3</v>
      </c>
      <c r="H98" s="5" t="s">
        <v>3</v>
      </c>
    </row>
    <row r="99" spans="1:8" x14ac:dyDescent="0.25">
      <c r="A99" s="5" t="s">
        <v>3</v>
      </c>
      <c r="B99" s="5" t="s">
        <v>3</v>
      </c>
      <c r="C99" s="5" t="s">
        <v>602</v>
      </c>
      <c r="D99" s="6">
        <v>960</v>
      </c>
      <c r="E99" s="6">
        <v>0</v>
      </c>
      <c r="F99" s="6">
        <f>D99+E99</f>
        <v>960</v>
      </c>
      <c r="G99" s="5" t="s">
        <v>3</v>
      </c>
      <c r="H99" s="5" t="s">
        <v>3</v>
      </c>
    </row>
    <row r="100" spans="1:8" x14ac:dyDescent="0.25">
      <c r="A100" s="5" t="s">
        <v>3</v>
      </c>
      <c r="B100" s="5" t="s">
        <v>3</v>
      </c>
      <c r="C100" s="5" t="s">
        <v>841</v>
      </c>
      <c r="D100" s="6">
        <v>701.35</v>
      </c>
      <c r="E100" s="6">
        <v>0</v>
      </c>
      <c r="F100" s="6">
        <f>D100+E100</f>
        <v>701.35</v>
      </c>
      <c r="G100" s="5" t="s">
        <v>3</v>
      </c>
      <c r="H100" s="5" t="s">
        <v>3</v>
      </c>
    </row>
    <row r="101" spans="1:8" x14ac:dyDescent="0.25">
      <c r="A101" s="5" t="s">
        <v>3</v>
      </c>
      <c r="B101" s="5" t="s">
        <v>3</v>
      </c>
      <c r="C101" s="5" t="s">
        <v>1120</v>
      </c>
      <c r="D101" s="6">
        <v>553.06</v>
      </c>
      <c r="E101" s="6">
        <v>0</v>
      </c>
      <c r="F101" s="6">
        <f>D101+E101</f>
        <v>553.06</v>
      </c>
      <c r="G101" s="5" t="s">
        <v>3</v>
      </c>
      <c r="H101" s="5" t="s">
        <v>3</v>
      </c>
    </row>
    <row r="102" spans="1:8" x14ac:dyDescent="0.25">
      <c r="A102" s="5" t="s">
        <v>3</v>
      </c>
      <c r="B102" s="5" t="s">
        <v>3</v>
      </c>
      <c r="C102" s="5" t="s">
        <v>563</v>
      </c>
      <c r="D102" s="6">
        <v>311.13</v>
      </c>
      <c r="E102" s="6">
        <v>0</v>
      </c>
      <c r="F102" s="6">
        <f>D102+E102</f>
        <v>311.13</v>
      </c>
      <c r="G102" s="5" t="s">
        <v>3</v>
      </c>
      <c r="H102" s="5" t="s">
        <v>3</v>
      </c>
    </row>
    <row r="103" spans="1:8" x14ac:dyDescent="0.25">
      <c r="A103" s="5" t="s">
        <v>3</v>
      </c>
      <c r="B103" s="5" t="s">
        <v>3</v>
      </c>
      <c r="C103" s="5" t="s">
        <v>554</v>
      </c>
      <c r="D103" s="6">
        <v>217.72</v>
      </c>
      <c r="E103" s="6">
        <v>0</v>
      </c>
      <c r="F103" s="6">
        <f>D103+E103</f>
        <v>217.72</v>
      </c>
      <c r="G103" s="5" t="s">
        <v>3</v>
      </c>
      <c r="H103" s="5" t="s">
        <v>3</v>
      </c>
    </row>
    <row r="104" spans="1:8" x14ac:dyDescent="0.25">
      <c r="A104" s="5" t="s">
        <v>3</v>
      </c>
      <c r="B104" s="5" t="s">
        <v>3</v>
      </c>
      <c r="C104" s="5" t="s">
        <v>1121</v>
      </c>
      <c r="D104" s="6">
        <v>208.9</v>
      </c>
      <c r="E104" s="6">
        <v>0</v>
      </c>
      <c r="F104" s="6">
        <f>D104+E104</f>
        <v>208.9</v>
      </c>
      <c r="G104" s="5" t="s">
        <v>3</v>
      </c>
      <c r="H104" s="5" t="s">
        <v>3</v>
      </c>
    </row>
    <row r="105" spans="1:8" x14ac:dyDescent="0.25">
      <c r="A105" s="5" t="s">
        <v>3</v>
      </c>
      <c r="B105" s="5" t="s">
        <v>3</v>
      </c>
      <c r="C105" s="5" t="s">
        <v>1046</v>
      </c>
      <c r="D105" s="6">
        <v>177.09</v>
      </c>
      <c r="E105" s="6">
        <v>0</v>
      </c>
      <c r="F105" s="6">
        <f>D105+E105</f>
        <v>177.09</v>
      </c>
      <c r="G105" s="5" t="s">
        <v>3</v>
      </c>
      <c r="H105" s="5" t="s">
        <v>3</v>
      </c>
    </row>
    <row r="106" spans="1:8" x14ac:dyDescent="0.25">
      <c r="A106" s="5" t="s">
        <v>3</v>
      </c>
      <c r="B106" s="5" t="s">
        <v>3</v>
      </c>
      <c r="C106" s="5" t="s">
        <v>605</v>
      </c>
      <c r="D106" s="6">
        <v>130.61</v>
      </c>
      <c r="E106" s="6">
        <v>0</v>
      </c>
      <c r="F106" s="6">
        <f>D106+E106</f>
        <v>130.61</v>
      </c>
      <c r="G106" s="5" t="s">
        <v>3</v>
      </c>
      <c r="H106" s="5" t="s">
        <v>3</v>
      </c>
    </row>
    <row r="107" spans="1:8" x14ac:dyDescent="0.25">
      <c r="A107" s="5" t="s">
        <v>3</v>
      </c>
      <c r="B107" s="5" t="s">
        <v>3</v>
      </c>
      <c r="C107" s="5" t="s">
        <v>1032</v>
      </c>
      <c r="D107" s="6">
        <v>119.09</v>
      </c>
      <c r="E107" s="6">
        <v>0</v>
      </c>
      <c r="F107" s="6">
        <f>D107+E107</f>
        <v>119.09</v>
      </c>
      <c r="G107" s="5" t="s">
        <v>3</v>
      </c>
      <c r="H107" s="5" t="s">
        <v>3</v>
      </c>
    </row>
    <row r="108" spans="1:8" x14ac:dyDescent="0.25">
      <c r="A108" s="5" t="s">
        <v>3</v>
      </c>
      <c r="B108" s="5" t="s">
        <v>3</v>
      </c>
      <c r="C108" s="5" t="s">
        <v>606</v>
      </c>
      <c r="D108" s="6">
        <v>117.36</v>
      </c>
      <c r="E108" s="6">
        <v>0</v>
      </c>
      <c r="F108" s="6">
        <f>D108+E108</f>
        <v>117.36</v>
      </c>
      <c r="G108" s="5" t="s">
        <v>3</v>
      </c>
      <c r="H108" s="5" t="s">
        <v>3</v>
      </c>
    </row>
    <row r="109" spans="1:8" x14ac:dyDescent="0.25">
      <c r="A109" s="5" t="s">
        <v>3</v>
      </c>
      <c r="B109" s="5" t="s">
        <v>3</v>
      </c>
      <c r="C109" s="5" t="s">
        <v>1122</v>
      </c>
      <c r="D109" s="6">
        <v>115.04</v>
      </c>
      <c r="E109" s="6">
        <v>0</v>
      </c>
      <c r="F109" s="6">
        <f>D109+E109</f>
        <v>115.04</v>
      </c>
      <c r="G109" s="5" t="s">
        <v>3</v>
      </c>
      <c r="H109" s="5" t="s">
        <v>3</v>
      </c>
    </row>
    <row r="110" spans="1:8" x14ac:dyDescent="0.25">
      <c r="A110" s="5" t="s">
        <v>3</v>
      </c>
      <c r="B110" s="5" t="s">
        <v>3</v>
      </c>
      <c r="C110" s="5" t="s">
        <v>1123</v>
      </c>
      <c r="D110" s="6">
        <v>89.47</v>
      </c>
      <c r="E110" s="6">
        <v>0</v>
      </c>
      <c r="F110" s="6">
        <f>D110+E110</f>
        <v>89.47</v>
      </c>
      <c r="G110" s="5" t="s">
        <v>3</v>
      </c>
      <c r="H110" s="5" t="s">
        <v>3</v>
      </c>
    </row>
    <row r="111" spans="1:8" x14ac:dyDescent="0.25">
      <c r="A111" s="5" t="s">
        <v>3</v>
      </c>
      <c r="B111" s="5" t="s">
        <v>3</v>
      </c>
      <c r="C111" s="5" t="s">
        <v>612</v>
      </c>
      <c r="D111" s="6">
        <v>37.49</v>
      </c>
      <c r="E111" s="6">
        <v>0</v>
      </c>
      <c r="F111" s="6">
        <f>D111+E111</f>
        <v>37.49</v>
      </c>
      <c r="G111" s="5" t="s">
        <v>3</v>
      </c>
      <c r="H111" s="5" t="s">
        <v>3</v>
      </c>
    </row>
    <row r="112" spans="1:8" x14ac:dyDescent="0.25">
      <c r="A112" s="5" t="s">
        <v>3</v>
      </c>
      <c r="B112" s="5" t="s">
        <v>3</v>
      </c>
      <c r="C112" s="5" t="s">
        <v>1001</v>
      </c>
      <c r="D112" s="6">
        <v>28.98</v>
      </c>
      <c r="E112" s="6">
        <v>0</v>
      </c>
      <c r="F112" s="6">
        <f>D112+E112</f>
        <v>28.98</v>
      </c>
      <c r="G112" s="5" t="s">
        <v>3</v>
      </c>
      <c r="H112" s="5" t="s">
        <v>3</v>
      </c>
    </row>
    <row r="113" spans="1:8" x14ac:dyDescent="0.25">
      <c r="A113" s="5" t="s">
        <v>3</v>
      </c>
      <c r="B113" s="5" t="s">
        <v>3</v>
      </c>
      <c r="C113" s="5" t="s">
        <v>594</v>
      </c>
      <c r="D113" s="6">
        <v>20.16</v>
      </c>
      <c r="E113" s="6">
        <v>0</v>
      </c>
      <c r="F113" s="6">
        <f>D113+E113</f>
        <v>20.16</v>
      </c>
      <c r="G113" s="5" t="s">
        <v>3</v>
      </c>
      <c r="H113" s="5" t="s">
        <v>3</v>
      </c>
    </row>
    <row r="114" spans="1:8" x14ac:dyDescent="0.25">
      <c r="A114" s="24" t="s">
        <v>384</v>
      </c>
      <c r="B114" s="24" t="s">
        <v>385</v>
      </c>
      <c r="C114" s="24" t="s">
        <v>499</v>
      </c>
      <c r="D114" s="27">
        <f>SUM(D115:D117)</f>
        <v>19568.98</v>
      </c>
      <c r="E114" s="27">
        <f>SUM(E115:E117)</f>
        <v>0</v>
      </c>
      <c r="F114" s="27">
        <f>SUM(F115:F117)</f>
        <v>19568.98</v>
      </c>
      <c r="G114" s="24" t="s">
        <v>3</v>
      </c>
      <c r="H114" s="24" t="s">
        <v>3</v>
      </c>
    </row>
    <row r="115" spans="1:8" x14ac:dyDescent="0.25">
      <c r="A115" s="5" t="s">
        <v>3</v>
      </c>
      <c r="B115" s="5" t="s">
        <v>3</v>
      </c>
      <c r="C115" s="5" t="s">
        <v>1047</v>
      </c>
      <c r="D115" s="6">
        <v>13251.5</v>
      </c>
      <c r="E115" s="6">
        <v>0</v>
      </c>
      <c r="F115" s="6">
        <f>D115+E115</f>
        <v>13251.5</v>
      </c>
      <c r="G115" s="5" t="s">
        <v>3</v>
      </c>
      <c r="H115" s="5" t="s">
        <v>3</v>
      </c>
    </row>
    <row r="116" spans="1:8" x14ac:dyDescent="0.25">
      <c r="A116" s="5" t="s">
        <v>3</v>
      </c>
      <c r="B116" s="5" t="s">
        <v>3</v>
      </c>
      <c r="C116" s="5" t="s">
        <v>615</v>
      </c>
      <c r="D116" s="6">
        <v>4317.48</v>
      </c>
      <c r="E116" s="6">
        <v>0</v>
      </c>
      <c r="F116" s="6">
        <f>D116+E116</f>
        <v>4317.48</v>
      </c>
      <c r="G116" s="5" t="s">
        <v>3</v>
      </c>
      <c r="H116" s="5" t="s">
        <v>3</v>
      </c>
    </row>
    <row r="117" spans="1:8" x14ac:dyDescent="0.25">
      <c r="A117" s="5" t="s">
        <v>3</v>
      </c>
      <c r="B117" s="5" t="s">
        <v>3</v>
      </c>
      <c r="C117" s="5" t="s">
        <v>617</v>
      </c>
      <c r="D117" s="6">
        <v>2000</v>
      </c>
      <c r="E117" s="6">
        <v>0</v>
      </c>
      <c r="F117" s="6">
        <f>D117+E117</f>
        <v>2000</v>
      </c>
      <c r="G117" s="5" t="s">
        <v>3</v>
      </c>
      <c r="H117" s="5" t="s">
        <v>3</v>
      </c>
    </row>
    <row r="118" spans="1:8" x14ac:dyDescent="0.25">
      <c r="A118" s="24" t="s">
        <v>386</v>
      </c>
      <c r="B118" s="24" t="s">
        <v>387</v>
      </c>
      <c r="C118" s="24" t="s">
        <v>499</v>
      </c>
      <c r="D118" s="27">
        <f>SUM(D119:D120)</f>
        <v>2882.62</v>
      </c>
      <c r="E118" s="27">
        <f>SUM(E119:E120)</f>
        <v>0</v>
      </c>
      <c r="F118" s="27">
        <f>SUM(F119:F120)</f>
        <v>2882.62</v>
      </c>
      <c r="G118" s="24" t="s">
        <v>3</v>
      </c>
      <c r="H118" s="24" t="s">
        <v>3</v>
      </c>
    </row>
    <row r="119" spans="1:8" x14ac:dyDescent="0.25">
      <c r="A119" s="5" t="s">
        <v>3</v>
      </c>
      <c r="B119" s="5" t="s">
        <v>3</v>
      </c>
      <c r="C119" s="5" t="s">
        <v>1048</v>
      </c>
      <c r="D119" s="6">
        <v>1930.82</v>
      </c>
      <c r="E119" s="6">
        <v>0</v>
      </c>
      <c r="F119" s="6">
        <f>D119+E119</f>
        <v>1930.82</v>
      </c>
      <c r="G119" s="5" t="s">
        <v>3</v>
      </c>
      <c r="H119" s="5" t="s">
        <v>3</v>
      </c>
    </row>
    <row r="120" spans="1:8" x14ac:dyDescent="0.25">
      <c r="A120" s="5" t="s">
        <v>3</v>
      </c>
      <c r="B120" s="5" t="s">
        <v>3</v>
      </c>
      <c r="C120" s="5" t="s">
        <v>1049</v>
      </c>
      <c r="D120" s="6">
        <v>951.8</v>
      </c>
      <c r="E120" s="6">
        <v>0</v>
      </c>
      <c r="F120" s="6">
        <f>D120+E120</f>
        <v>951.8</v>
      </c>
      <c r="G120" s="5" t="s">
        <v>3</v>
      </c>
      <c r="H120" s="5" t="s">
        <v>3</v>
      </c>
    </row>
    <row r="121" spans="1:8" x14ac:dyDescent="0.25">
      <c r="A121" s="24" t="s">
        <v>388</v>
      </c>
      <c r="B121" s="24" t="s">
        <v>389</v>
      </c>
      <c r="C121" s="24" t="s">
        <v>499</v>
      </c>
      <c r="D121" s="27">
        <f>SUM(D122:D122)</f>
        <v>2000</v>
      </c>
      <c r="E121" s="27">
        <f>SUM(E122:E122)</f>
        <v>0</v>
      </c>
      <c r="F121" s="27">
        <f>SUM(F122:F122)</f>
        <v>2000</v>
      </c>
      <c r="G121" s="24" t="s">
        <v>3</v>
      </c>
      <c r="H121" s="24" t="s">
        <v>3</v>
      </c>
    </row>
    <row r="122" spans="1:8" x14ac:dyDescent="0.25">
      <c r="A122" s="5" t="s">
        <v>3</v>
      </c>
      <c r="B122" s="5" t="s">
        <v>3</v>
      </c>
      <c r="C122" s="5" t="s">
        <v>882</v>
      </c>
      <c r="D122" s="6">
        <v>2000</v>
      </c>
      <c r="E122" s="6">
        <v>0</v>
      </c>
      <c r="F122" s="6">
        <f>D122+E122</f>
        <v>2000</v>
      </c>
      <c r="G122" s="5" t="s">
        <v>3</v>
      </c>
      <c r="H122" s="5" t="s">
        <v>3</v>
      </c>
    </row>
    <row r="123" spans="1:8" x14ac:dyDescent="0.25">
      <c r="A123" s="24" t="s">
        <v>390</v>
      </c>
      <c r="B123" s="24" t="s">
        <v>391</v>
      </c>
      <c r="C123" s="24" t="s">
        <v>499</v>
      </c>
      <c r="D123" s="27">
        <f>SUM(D124:D127)</f>
        <v>1453.58</v>
      </c>
      <c r="E123" s="27">
        <f>SUM(E124:E127)</f>
        <v>0</v>
      </c>
      <c r="F123" s="27">
        <f>SUM(F124:F127)</f>
        <v>1453.58</v>
      </c>
      <c r="G123" s="24" t="s">
        <v>3</v>
      </c>
      <c r="H123" s="24" t="s">
        <v>3</v>
      </c>
    </row>
    <row r="124" spans="1:8" x14ac:dyDescent="0.25">
      <c r="A124" s="5" t="s">
        <v>3</v>
      </c>
      <c r="B124" s="5" t="s">
        <v>3</v>
      </c>
      <c r="C124" s="5" t="s">
        <v>620</v>
      </c>
      <c r="D124" s="6">
        <v>1138</v>
      </c>
      <c r="E124" s="6">
        <v>0</v>
      </c>
      <c r="F124" s="6">
        <f>D124+E124</f>
        <v>1138</v>
      </c>
      <c r="G124" s="5" t="s">
        <v>3</v>
      </c>
      <c r="H124" s="5" t="s">
        <v>3</v>
      </c>
    </row>
    <row r="125" spans="1:8" x14ac:dyDescent="0.25">
      <c r="A125" s="5" t="s">
        <v>3</v>
      </c>
      <c r="B125" s="5" t="s">
        <v>3</v>
      </c>
      <c r="C125" s="5" t="s">
        <v>1124</v>
      </c>
      <c r="D125" s="6">
        <v>255</v>
      </c>
      <c r="E125" s="6">
        <v>0</v>
      </c>
      <c r="F125" s="6">
        <f>D125+E125</f>
        <v>255</v>
      </c>
      <c r="G125" s="5" t="s">
        <v>3</v>
      </c>
      <c r="H125" s="5" t="s">
        <v>3</v>
      </c>
    </row>
    <row r="126" spans="1:8" x14ac:dyDescent="0.25">
      <c r="A126" s="5" t="s">
        <v>3</v>
      </c>
      <c r="B126" s="5" t="s">
        <v>3</v>
      </c>
      <c r="C126" s="5" t="s">
        <v>1125</v>
      </c>
      <c r="D126" s="6">
        <v>39.28</v>
      </c>
      <c r="E126" s="6">
        <v>0</v>
      </c>
      <c r="F126" s="6">
        <f>D126+E126</f>
        <v>39.28</v>
      </c>
      <c r="G126" s="5" t="s">
        <v>3</v>
      </c>
      <c r="H126" s="5" t="s">
        <v>3</v>
      </c>
    </row>
    <row r="127" spans="1:8" x14ac:dyDescent="0.25">
      <c r="A127" s="5" t="s">
        <v>3</v>
      </c>
      <c r="B127" s="5" t="s">
        <v>3</v>
      </c>
      <c r="C127" s="5" t="s">
        <v>1126</v>
      </c>
      <c r="D127" s="6">
        <v>21.3</v>
      </c>
      <c r="E127" s="6">
        <v>0</v>
      </c>
      <c r="F127" s="6">
        <f>D127+E127</f>
        <v>21.3</v>
      </c>
      <c r="G127" s="5" t="s">
        <v>3</v>
      </c>
      <c r="H127" s="5" t="s">
        <v>3</v>
      </c>
    </row>
    <row r="128" spans="1:8" x14ac:dyDescent="0.25">
      <c r="A128" s="24" t="s">
        <v>392</v>
      </c>
      <c r="B128" s="24" t="s">
        <v>393</v>
      </c>
      <c r="C128" s="24" t="s">
        <v>499</v>
      </c>
      <c r="D128" s="27">
        <f>SUM(D129:D135)</f>
        <v>22653.8</v>
      </c>
      <c r="E128" s="27">
        <f>SUM(E129:E135)</f>
        <v>-3658.58</v>
      </c>
      <c r="F128" s="27">
        <f>SUM(F129:F135)</f>
        <v>18995.22</v>
      </c>
      <c r="G128" s="24" t="s">
        <v>3</v>
      </c>
      <c r="H128" s="24" t="s">
        <v>3</v>
      </c>
    </row>
    <row r="129" spans="1:8" x14ac:dyDescent="0.25">
      <c r="A129" s="5" t="s">
        <v>3</v>
      </c>
      <c r="B129" s="5" t="s">
        <v>3</v>
      </c>
      <c r="C129" s="5" t="s">
        <v>151</v>
      </c>
      <c r="D129" s="6">
        <v>3049.5</v>
      </c>
      <c r="E129" s="29">
        <v>-3049.5</v>
      </c>
      <c r="F129" s="6">
        <f>D129+E129</f>
        <v>0</v>
      </c>
      <c r="G129" s="23" t="s">
        <v>1127</v>
      </c>
      <c r="H129" s="5" t="s">
        <v>3</v>
      </c>
    </row>
    <row r="130" spans="1:8" x14ac:dyDescent="0.25">
      <c r="A130" s="5" t="s">
        <v>3</v>
      </c>
      <c r="B130" s="5" t="s">
        <v>3</v>
      </c>
      <c r="C130" s="5" t="s">
        <v>155</v>
      </c>
      <c r="D130" s="6">
        <v>609.08</v>
      </c>
      <c r="E130" s="29">
        <v>-609.08</v>
      </c>
      <c r="F130" s="6">
        <f>D130+E130</f>
        <v>0</v>
      </c>
      <c r="G130" s="23" t="s">
        <v>1128</v>
      </c>
      <c r="H130" s="5" t="s">
        <v>3</v>
      </c>
    </row>
    <row r="131" spans="1:8" x14ac:dyDescent="0.25">
      <c r="A131" s="5" t="s">
        <v>3</v>
      </c>
      <c r="B131" s="5" t="s">
        <v>3</v>
      </c>
      <c r="C131" s="5" t="s">
        <v>1129</v>
      </c>
      <c r="D131" s="6">
        <v>7645.23</v>
      </c>
      <c r="E131" s="6">
        <v>0</v>
      </c>
      <c r="F131" s="6">
        <f>D131+E131</f>
        <v>7645.23</v>
      </c>
      <c r="G131" s="5" t="s">
        <v>3</v>
      </c>
      <c r="H131" s="5" t="s">
        <v>3</v>
      </c>
    </row>
    <row r="132" spans="1:8" x14ac:dyDescent="0.25">
      <c r="A132" s="5" t="s">
        <v>3</v>
      </c>
      <c r="B132" s="5" t="s">
        <v>3</v>
      </c>
      <c r="C132" s="5" t="s">
        <v>1050</v>
      </c>
      <c r="D132" s="6">
        <v>7306.28</v>
      </c>
      <c r="E132" s="6">
        <v>0</v>
      </c>
      <c r="F132" s="6">
        <f>D132+E132</f>
        <v>7306.28</v>
      </c>
      <c r="G132" s="5" t="s">
        <v>3</v>
      </c>
      <c r="H132" s="5" t="s">
        <v>3</v>
      </c>
    </row>
    <row r="133" spans="1:8" x14ac:dyDescent="0.25">
      <c r="A133" s="5" t="s">
        <v>3</v>
      </c>
      <c r="B133" s="5" t="s">
        <v>3</v>
      </c>
      <c r="C133" s="5" t="s">
        <v>621</v>
      </c>
      <c r="D133" s="6">
        <v>1702.13</v>
      </c>
      <c r="E133" s="6">
        <v>0</v>
      </c>
      <c r="F133" s="6">
        <f>D133+E133</f>
        <v>1702.13</v>
      </c>
      <c r="G133" s="5" t="s">
        <v>3</v>
      </c>
      <c r="H133" s="5" t="s">
        <v>3</v>
      </c>
    </row>
    <row r="134" spans="1:8" x14ac:dyDescent="0.25">
      <c r="A134" s="5" t="s">
        <v>3</v>
      </c>
      <c r="B134" s="5" t="s">
        <v>3</v>
      </c>
      <c r="C134" s="5" t="s">
        <v>1130</v>
      </c>
      <c r="D134" s="6">
        <v>1675.35</v>
      </c>
      <c r="E134" s="6">
        <v>0</v>
      </c>
      <c r="F134" s="6">
        <f>D134+E134</f>
        <v>1675.35</v>
      </c>
      <c r="G134" s="5" t="s">
        <v>3</v>
      </c>
      <c r="H134" s="5" t="s">
        <v>3</v>
      </c>
    </row>
    <row r="135" spans="1:8" x14ac:dyDescent="0.25">
      <c r="A135" s="5" t="s">
        <v>3</v>
      </c>
      <c r="B135" s="5" t="s">
        <v>3</v>
      </c>
      <c r="C135" s="5" t="s">
        <v>623</v>
      </c>
      <c r="D135" s="6">
        <v>666.23</v>
      </c>
      <c r="E135" s="6">
        <v>0</v>
      </c>
      <c r="F135" s="6">
        <f>D135+E135</f>
        <v>666.23</v>
      </c>
      <c r="G135" s="5" t="s">
        <v>3</v>
      </c>
      <c r="H135" s="5" t="s">
        <v>3</v>
      </c>
    </row>
    <row r="136" spans="1:8" x14ac:dyDescent="0.25">
      <c r="A136" s="24" t="s">
        <v>394</v>
      </c>
      <c r="B136" s="24" t="s">
        <v>395</v>
      </c>
      <c r="C136" s="24" t="s">
        <v>499</v>
      </c>
      <c r="D136" s="27">
        <f>SUM(D137:D147)</f>
        <v>793.24</v>
      </c>
      <c r="E136" s="27">
        <f>SUM(E137:E147)</f>
        <v>0</v>
      </c>
      <c r="F136" s="27">
        <f>SUM(F137:F147)</f>
        <v>793.24</v>
      </c>
      <c r="G136" s="24" t="s">
        <v>3</v>
      </c>
      <c r="H136" s="24" t="s">
        <v>3</v>
      </c>
    </row>
    <row r="137" spans="1:8" x14ac:dyDescent="0.25">
      <c r="A137" s="5" t="s">
        <v>3</v>
      </c>
      <c r="B137" s="5" t="s">
        <v>3</v>
      </c>
      <c r="C137" s="5" t="s">
        <v>1131</v>
      </c>
      <c r="D137" s="6">
        <v>217.08</v>
      </c>
      <c r="E137" s="6">
        <v>0</v>
      </c>
      <c r="F137" s="6">
        <f>D137+E137</f>
        <v>217.08</v>
      </c>
      <c r="G137" s="5" t="s">
        <v>3</v>
      </c>
      <c r="H137" s="5" t="s">
        <v>3</v>
      </c>
    </row>
    <row r="138" spans="1:8" x14ac:dyDescent="0.25">
      <c r="A138" s="5" t="s">
        <v>3</v>
      </c>
      <c r="B138" s="5" t="s">
        <v>3</v>
      </c>
      <c r="C138" s="5" t="s">
        <v>1132</v>
      </c>
      <c r="D138" s="6">
        <v>152.25</v>
      </c>
      <c r="E138" s="6">
        <v>0</v>
      </c>
      <c r="F138" s="6">
        <f>D138+E138</f>
        <v>152.25</v>
      </c>
      <c r="G138" s="5" t="s">
        <v>3</v>
      </c>
      <c r="H138" s="5" t="s">
        <v>3</v>
      </c>
    </row>
    <row r="139" spans="1:8" x14ac:dyDescent="0.25">
      <c r="A139" s="5" t="s">
        <v>3</v>
      </c>
      <c r="B139" s="5" t="s">
        <v>3</v>
      </c>
      <c r="C139" s="5" t="s">
        <v>1133</v>
      </c>
      <c r="D139" s="6">
        <v>128.26</v>
      </c>
      <c r="E139" s="6">
        <v>0</v>
      </c>
      <c r="F139" s="6">
        <f>D139+E139</f>
        <v>128.26</v>
      </c>
      <c r="G139" s="5" t="s">
        <v>3</v>
      </c>
      <c r="H139" s="5" t="s">
        <v>3</v>
      </c>
    </row>
    <row r="140" spans="1:8" x14ac:dyDescent="0.25">
      <c r="A140" s="5" t="s">
        <v>3</v>
      </c>
      <c r="B140" s="5" t="s">
        <v>3</v>
      </c>
      <c r="C140" s="5" t="s">
        <v>1134</v>
      </c>
      <c r="D140" s="6">
        <v>92.24</v>
      </c>
      <c r="E140" s="6">
        <v>0</v>
      </c>
      <c r="F140" s="6">
        <f>D140+E140</f>
        <v>92.24</v>
      </c>
      <c r="G140" s="5" t="s">
        <v>3</v>
      </c>
      <c r="H140" s="5" t="s">
        <v>3</v>
      </c>
    </row>
    <row r="141" spans="1:8" x14ac:dyDescent="0.25">
      <c r="A141" s="5" t="s">
        <v>3</v>
      </c>
      <c r="B141" s="5" t="s">
        <v>3</v>
      </c>
      <c r="C141" s="5" t="s">
        <v>1135</v>
      </c>
      <c r="D141" s="6">
        <v>83.81</v>
      </c>
      <c r="E141" s="6">
        <v>0</v>
      </c>
      <c r="F141" s="6">
        <f>D141+E141</f>
        <v>83.81</v>
      </c>
      <c r="G141" s="5" t="s">
        <v>3</v>
      </c>
      <c r="H141" s="5" t="s">
        <v>3</v>
      </c>
    </row>
    <row r="142" spans="1:8" x14ac:dyDescent="0.25">
      <c r="A142" s="5" t="s">
        <v>3</v>
      </c>
      <c r="B142" s="5" t="s">
        <v>3</v>
      </c>
      <c r="C142" s="5" t="s">
        <v>627</v>
      </c>
      <c r="D142" s="6">
        <v>-67.96</v>
      </c>
      <c r="E142" s="6">
        <v>0</v>
      </c>
      <c r="F142" s="6">
        <f>D142+E142</f>
        <v>-67.96</v>
      </c>
      <c r="G142" s="5" t="s">
        <v>3</v>
      </c>
      <c r="H142" s="5" t="s">
        <v>3</v>
      </c>
    </row>
    <row r="143" spans="1:8" x14ac:dyDescent="0.25">
      <c r="A143" s="5" t="s">
        <v>3</v>
      </c>
      <c r="B143" s="5" t="s">
        <v>3</v>
      </c>
      <c r="C143" s="5" t="s">
        <v>1136</v>
      </c>
      <c r="D143" s="6">
        <v>59.96</v>
      </c>
      <c r="E143" s="6">
        <v>0</v>
      </c>
      <c r="F143" s="6">
        <f>D143+E143</f>
        <v>59.96</v>
      </c>
      <c r="G143" s="5" t="s">
        <v>3</v>
      </c>
      <c r="H143" s="5" t="s">
        <v>3</v>
      </c>
    </row>
    <row r="144" spans="1:8" x14ac:dyDescent="0.25">
      <c r="A144" s="5" t="s">
        <v>3</v>
      </c>
      <c r="B144" s="5" t="s">
        <v>3</v>
      </c>
      <c r="C144" s="5" t="s">
        <v>1137</v>
      </c>
      <c r="D144" s="6">
        <v>55.98</v>
      </c>
      <c r="E144" s="6">
        <v>0</v>
      </c>
      <c r="F144" s="6">
        <f>D144+E144</f>
        <v>55.98</v>
      </c>
      <c r="G144" s="5" t="s">
        <v>3</v>
      </c>
      <c r="H144" s="5" t="s">
        <v>3</v>
      </c>
    </row>
    <row r="145" spans="1:8" x14ac:dyDescent="0.25">
      <c r="A145" s="5" t="s">
        <v>3</v>
      </c>
      <c r="B145" s="5" t="s">
        <v>3</v>
      </c>
      <c r="C145" s="5" t="s">
        <v>1138</v>
      </c>
      <c r="D145" s="6">
        <v>28.34</v>
      </c>
      <c r="E145" s="6">
        <v>0</v>
      </c>
      <c r="F145" s="6">
        <f>D145+E145</f>
        <v>28.34</v>
      </c>
      <c r="G145" s="5" t="s">
        <v>3</v>
      </c>
      <c r="H145" s="5" t="s">
        <v>3</v>
      </c>
    </row>
    <row r="146" spans="1:8" x14ac:dyDescent="0.25">
      <c r="A146" s="5" t="s">
        <v>3</v>
      </c>
      <c r="B146" s="5" t="s">
        <v>3</v>
      </c>
      <c r="C146" s="5" t="s">
        <v>1139</v>
      </c>
      <c r="D146" s="6">
        <v>23.11</v>
      </c>
      <c r="E146" s="6">
        <v>0</v>
      </c>
      <c r="F146" s="6">
        <f>D146+E146</f>
        <v>23.11</v>
      </c>
      <c r="G146" s="5" t="s">
        <v>3</v>
      </c>
      <c r="H146" s="5" t="s">
        <v>3</v>
      </c>
    </row>
    <row r="147" spans="1:8" x14ac:dyDescent="0.25">
      <c r="A147" s="5" t="s">
        <v>3</v>
      </c>
      <c r="B147" s="5" t="s">
        <v>3</v>
      </c>
      <c r="C147" s="5" t="s">
        <v>1140</v>
      </c>
      <c r="D147" s="6">
        <v>20.17</v>
      </c>
      <c r="E147" s="6">
        <v>0</v>
      </c>
      <c r="F147" s="6">
        <f>D147+E147</f>
        <v>20.17</v>
      </c>
      <c r="G147" s="5" t="s">
        <v>3</v>
      </c>
      <c r="H147" s="5" t="s">
        <v>3</v>
      </c>
    </row>
    <row r="148" spans="1:8" x14ac:dyDescent="0.25">
      <c r="A148" s="24" t="s">
        <v>396</v>
      </c>
      <c r="B148" s="24" t="s">
        <v>397</v>
      </c>
      <c r="C148" s="24" t="s">
        <v>499</v>
      </c>
      <c r="D148" s="27">
        <f>SUM(D149:D149)</f>
        <v>236.84</v>
      </c>
      <c r="E148" s="27">
        <f>SUM(E149:E149)</f>
        <v>0</v>
      </c>
      <c r="F148" s="27">
        <f>SUM(F149:F149)</f>
        <v>236.84</v>
      </c>
      <c r="G148" s="24" t="s">
        <v>3</v>
      </c>
      <c r="H148" s="24" t="s">
        <v>3</v>
      </c>
    </row>
    <row r="149" spans="1:8" x14ac:dyDescent="0.25">
      <c r="A149" s="5" t="s">
        <v>3</v>
      </c>
      <c r="B149" s="5" t="s">
        <v>3</v>
      </c>
      <c r="C149" s="5" t="s">
        <v>1141</v>
      </c>
      <c r="D149" s="6">
        <v>236.84</v>
      </c>
      <c r="E149" s="6">
        <v>0</v>
      </c>
      <c r="F149" s="6">
        <f>D149+E149</f>
        <v>236.84</v>
      </c>
      <c r="G149" s="5" t="s">
        <v>3</v>
      </c>
      <c r="H149" s="5" t="s">
        <v>3</v>
      </c>
    </row>
    <row r="150" spans="1:8" x14ac:dyDescent="0.25">
      <c r="A150" s="24" t="s">
        <v>400</v>
      </c>
      <c r="B150" s="24" t="s">
        <v>401</v>
      </c>
      <c r="C150" s="24" t="s">
        <v>499</v>
      </c>
      <c r="D150" s="27">
        <f>SUM(D151:D154)</f>
        <v>4270.64</v>
      </c>
      <c r="E150" s="27">
        <f>SUM(E151:E154)</f>
        <v>0</v>
      </c>
      <c r="F150" s="27">
        <f>SUM(F151:F154)</f>
        <v>4270.64</v>
      </c>
      <c r="G150" s="24" t="s">
        <v>3</v>
      </c>
      <c r="H150" s="24" t="s">
        <v>3</v>
      </c>
    </row>
    <row r="151" spans="1:8" x14ac:dyDescent="0.25">
      <c r="A151" s="5" t="s">
        <v>3</v>
      </c>
      <c r="B151" s="5" t="s">
        <v>3</v>
      </c>
      <c r="C151" s="5" t="s">
        <v>1065</v>
      </c>
      <c r="D151" s="6">
        <v>1877.53</v>
      </c>
      <c r="E151" s="6">
        <v>0</v>
      </c>
      <c r="F151" s="6">
        <f>D151+E151</f>
        <v>1877.53</v>
      </c>
      <c r="G151" s="5" t="s">
        <v>3</v>
      </c>
      <c r="H151" s="5" t="s">
        <v>3</v>
      </c>
    </row>
    <row r="152" spans="1:8" x14ac:dyDescent="0.25">
      <c r="A152" s="5" t="s">
        <v>3</v>
      </c>
      <c r="B152" s="5" t="s">
        <v>3</v>
      </c>
      <c r="C152" s="5" t="s">
        <v>1142</v>
      </c>
      <c r="D152" s="6">
        <v>1492.66</v>
      </c>
      <c r="E152" s="6">
        <v>0</v>
      </c>
      <c r="F152" s="6">
        <f>D152+E152</f>
        <v>1492.66</v>
      </c>
      <c r="G152" s="5" t="s">
        <v>3</v>
      </c>
      <c r="H152" s="5" t="s">
        <v>3</v>
      </c>
    </row>
    <row r="153" spans="1:8" x14ac:dyDescent="0.25">
      <c r="A153" s="5" t="s">
        <v>3</v>
      </c>
      <c r="B153" s="5" t="s">
        <v>3</v>
      </c>
      <c r="C153" s="5" t="s">
        <v>1130</v>
      </c>
      <c r="D153" s="6">
        <v>849.41</v>
      </c>
      <c r="E153" s="6">
        <v>0</v>
      </c>
      <c r="F153" s="6">
        <f>D153+E153</f>
        <v>849.41</v>
      </c>
      <c r="G153" s="5" t="s">
        <v>3</v>
      </c>
      <c r="H153" s="5" t="s">
        <v>3</v>
      </c>
    </row>
    <row r="154" spans="1:8" x14ac:dyDescent="0.25">
      <c r="A154" s="5" t="s">
        <v>3</v>
      </c>
      <c r="B154" s="5" t="s">
        <v>3</v>
      </c>
      <c r="C154" s="5" t="s">
        <v>624</v>
      </c>
      <c r="D154" s="6">
        <v>51.04</v>
      </c>
      <c r="E154" s="6">
        <v>0</v>
      </c>
      <c r="F154" s="6">
        <f>D154+E154</f>
        <v>51.04</v>
      </c>
      <c r="G154" s="5" t="s">
        <v>3</v>
      </c>
      <c r="H154" s="5" t="s">
        <v>3</v>
      </c>
    </row>
    <row r="155" spans="1:8" x14ac:dyDescent="0.25">
      <c r="A155" s="24" t="s">
        <v>402</v>
      </c>
      <c r="B155" s="24" t="s">
        <v>403</v>
      </c>
      <c r="C155" s="24" t="s">
        <v>499</v>
      </c>
      <c r="D155" s="27">
        <f>SUM(D156:D164)</f>
        <v>193277.8</v>
      </c>
      <c r="E155" s="27">
        <f>SUM(E156:E164)</f>
        <v>0</v>
      </c>
      <c r="F155" s="27">
        <f>SUM(F156:F164)</f>
        <v>193277.8</v>
      </c>
      <c r="G155" s="24" t="s">
        <v>3</v>
      </c>
      <c r="H155" s="24" t="s">
        <v>3</v>
      </c>
    </row>
    <row r="156" spans="1:8" x14ac:dyDescent="0.25">
      <c r="A156" s="5" t="s">
        <v>3</v>
      </c>
      <c r="B156" s="5" t="s">
        <v>3</v>
      </c>
      <c r="C156" s="5" t="s">
        <v>185</v>
      </c>
      <c r="D156" s="6">
        <v>90000</v>
      </c>
      <c r="E156" s="6">
        <v>0</v>
      </c>
      <c r="F156" s="6">
        <f>D156+E156</f>
        <v>90000</v>
      </c>
      <c r="G156" s="5" t="s">
        <v>3</v>
      </c>
      <c r="H156" s="5" t="s">
        <v>3</v>
      </c>
    </row>
    <row r="157" spans="1:8" x14ac:dyDescent="0.25">
      <c r="A157" s="5" t="s">
        <v>3</v>
      </c>
      <c r="B157" s="5" t="s">
        <v>3</v>
      </c>
      <c r="C157" s="5" t="s">
        <v>680</v>
      </c>
      <c r="D157" s="6">
        <v>30000</v>
      </c>
      <c r="E157" s="6">
        <v>0</v>
      </c>
      <c r="F157" s="6">
        <f>D157+E157</f>
        <v>30000</v>
      </c>
      <c r="G157" s="5" t="s">
        <v>3</v>
      </c>
      <c r="H157" s="5" t="s">
        <v>3</v>
      </c>
    </row>
    <row r="158" spans="1:8" x14ac:dyDescent="0.25">
      <c r="A158" s="5" t="s">
        <v>3</v>
      </c>
      <c r="B158" s="5" t="s">
        <v>3</v>
      </c>
      <c r="C158" s="5" t="s">
        <v>691</v>
      </c>
      <c r="D158" s="6">
        <v>20000</v>
      </c>
      <c r="E158" s="6">
        <v>0</v>
      </c>
      <c r="F158" s="6">
        <f>D158+E158</f>
        <v>20000</v>
      </c>
      <c r="G158" s="5" t="s">
        <v>3</v>
      </c>
      <c r="H158" s="5" t="s">
        <v>3</v>
      </c>
    </row>
    <row r="159" spans="1:8" x14ac:dyDescent="0.25">
      <c r="A159" s="5" t="s">
        <v>3</v>
      </c>
      <c r="B159" s="5" t="s">
        <v>3</v>
      </c>
      <c r="C159" s="5" t="s">
        <v>1094</v>
      </c>
      <c r="D159" s="6">
        <v>16000</v>
      </c>
      <c r="E159" s="6">
        <v>0</v>
      </c>
      <c r="F159" s="6">
        <f>D159+E159</f>
        <v>16000</v>
      </c>
      <c r="G159" s="5" t="s">
        <v>3</v>
      </c>
      <c r="H159" s="5" t="s">
        <v>3</v>
      </c>
    </row>
    <row r="160" spans="1:8" x14ac:dyDescent="0.25">
      <c r="A160" s="5" t="s">
        <v>3</v>
      </c>
      <c r="B160" s="5" t="s">
        <v>3</v>
      </c>
      <c r="C160" s="5" t="s">
        <v>733</v>
      </c>
      <c r="D160" s="6">
        <v>11877.8</v>
      </c>
      <c r="E160" s="6">
        <v>0</v>
      </c>
      <c r="F160" s="6">
        <f>D160+E160</f>
        <v>11877.8</v>
      </c>
      <c r="G160" s="5" t="s">
        <v>3</v>
      </c>
      <c r="H160" s="5" t="s">
        <v>3</v>
      </c>
    </row>
    <row r="161" spans="1:8" x14ac:dyDescent="0.25">
      <c r="A161" s="5" t="s">
        <v>3</v>
      </c>
      <c r="B161" s="5" t="s">
        <v>3</v>
      </c>
      <c r="C161" s="5" t="s">
        <v>1143</v>
      </c>
      <c r="D161" s="6">
        <v>9000</v>
      </c>
      <c r="E161" s="6">
        <v>0</v>
      </c>
      <c r="F161" s="6">
        <f>D161+E161</f>
        <v>9000</v>
      </c>
      <c r="G161" s="5" t="s">
        <v>3</v>
      </c>
      <c r="H161" s="5" t="s">
        <v>3</v>
      </c>
    </row>
    <row r="162" spans="1:8" x14ac:dyDescent="0.25">
      <c r="A162" s="5" t="s">
        <v>3</v>
      </c>
      <c r="B162" s="5" t="s">
        <v>3</v>
      </c>
      <c r="C162" s="5" t="s">
        <v>220</v>
      </c>
      <c r="D162" s="6">
        <v>8500</v>
      </c>
      <c r="E162" s="6">
        <v>0</v>
      </c>
      <c r="F162" s="6">
        <f>D162+E162</f>
        <v>8500</v>
      </c>
      <c r="G162" s="5" t="s">
        <v>3</v>
      </c>
      <c r="H162" s="5" t="s">
        <v>3</v>
      </c>
    </row>
    <row r="163" spans="1:8" x14ac:dyDescent="0.25">
      <c r="A163" s="5" t="s">
        <v>3</v>
      </c>
      <c r="B163" s="5" t="s">
        <v>3</v>
      </c>
      <c r="C163" s="5" t="s">
        <v>732</v>
      </c>
      <c r="D163" s="6">
        <v>4000</v>
      </c>
      <c r="E163" s="6">
        <v>0</v>
      </c>
      <c r="F163" s="6">
        <f>D163+E163</f>
        <v>4000</v>
      </c>
      <c r="G163" s="5" t="s">
        <v>3</v>
      </c>
      <c r="H163" s="5" t="s">
        <v>3</v>
      </c>
    </row>
    <row r="164" spans="1:8" x14ac:dyDescent="0.25">
      <c r="A164" s="5" t="s">
        <v>3</v>
      </c>
      <c r="B164" s="5" t="s">
        <v>3</v>
      </c>
      <c r="C164" s="5" t="s">
        <v>1144</v>
      </c>
      <c r="D164" s="6">
        <v>3900</v>
      </c>
      <c r="E164" s="6">
        <v>0</v>
      </c>
      <c r="F164" s="6">
        <f>D164+E164</f>
        <v>3900</v>
      </c>
      <c r="G164" s="5" t="s">
        <v>3</v>
      </c>
      <c r="H164" s="5" t="s">
        <v>3</v>
      </c>
    </row>
    <row r="165" spans="1:8" x14ac:dyDescent="0.25">
      <c r="A165" s="24" t="s">
        <v>406</v>
      </c>
      <c r="B165" s="24" t="s">
        <v>407</v>
      </c>
      <c r="C165" s="24" t="s">
        <v>499</v>
      </c>
      <c r="D165" s="27">
        <f>SUM(D166:D167)</f>
        <v>1166.94</v>
      </c>
      <c r="E165" s="27">
        <f>SUM(E166:E167)</f>
        <v>0</v>
      </c>
      <c r="F165" s="27">
        <f>SUM(F166:F167)</f>
        <v>1166.94</v>
      </c>
      <c r="G165" s="24" t="s">
        <v>3</v>
      </c>
      <c r="H165" s="24" t="s">
        <v>3</v>
      </c>
    </row>
    <row r="166" spans="1:8" x14ac:dyDescent="0.25">
      <c r="A166" s="5" t="s">
        <v>3</v>
      </c>
      <c r="B166" s="5" t="s">
        <v>3</v>
      </c>
      <c r="C166" s="5" t="s">
        <v>635</v>
      </c>
      <c r="D166" s="6">
        <v>716.99</v>
      </c>
      <c r="E166" s="6">
        <v>0</v>
      </c>
      <c r="F166" s="6">
        <f>D166+E166</f>
        <v>716.99</v>
      </c>
      <c r="G166" s="5" t="s">
        <v>3</v>
      </c>
      <c r="H166" s="5" t="s">
        <v>3</v>
      </c>
    </row>
    <row r="167" spans="1:8" x14ac:dyDescent="0.25">
      <c r="A167" s="5" t="s">
        <v>3</v>
      </c>
      <c r="B167" s="5" t="s">
        <v>3</v>
      </c>
      <c r="C167" s="5" t="s">
        <v>1145</v>
      </c>
      <c r="D167" s="6">
        <v>449.95</v>
      </c>
      <c r="E167" s="6">
        <v>0</v>
      </c>
      <c r="F167" s="6">
        <f>D167+E167</f>
        <v>449.95</v>
      </c>
      <c r="G167" s="5" t="s">
        <v>3</v>
      </c>
      <c r="H167" s="5" t="s">
        <v>3</v>
      </c>
    </row>
    <row r="168" spans="1:8" x14ac:dyDescent="0.25">
      <c r="A168" s="24" t="s">
        <v>408</v>
      </c>
      <c r="B168" s="24" t="s">
        <v>409</v>
      </c>
      <c r="C168" s="24" t="s">
        <v>499</v>
      </c>
      <c r="D168" s="27">
        <f>SUM(D169:D169)</f>
        <v>130.6</v>
      </c>
      <c r="E168" s="27">
        <f>SUM(E169:E169)</f>
        <v>0</v>
      </c>
      <c r="F168" s="27">
        <f>SUM(F169:F169)</f>
        <v>130.6</v>
      </c>
      <c r="G168" s="24" t="s">
        <v>3</v>
      </c>
      <c r="H168" s="24" t="s">
        <v>3</v>
      </c>
    </row>
    <row r="169" spans="1:8" x14ac:dyDescent="0.25">
      <c r="A169" s="5" t="s">
        <v>3</v>
      </c>
      <c r="B169" s="5" t="s">
        <v>3</v>
      </c>
      <c r="C169" s="5" t="s">
        <v>643</v>
      </c>
      <c r="D169" s="6">
        <v>130.6</v>
      </c>
      <c r="E169" s="6">
        <v>0</v>
      </c>
      <c r="F169" s="6">
        <f>D169+E169</f>
        <v>130.6</v>
      </c>
      <c r="G169" s="5" t="s">
        <v>3</v>
      </c>
      <c r="H169" s="5" t="s">
        <v>3</v>
      </c>
    </row>
    <row r="170" spans="1:8" x14ac:dyDescent="0.25">
      <c r="A170" s="24" t="s">
        <v>410</v>
      </c>
      <c r="B170" s="24" t="s">
        <v>411</v>
      </c>
      <c r="C170" s="24" t="s">
        <v>499</v>
      </c>
      <c r="D170" s="27">
        <f>SUM(D171:D172)</f>
        <v>206.49</v>
      </c>
      <c r="E170" s="27">
        <f>SUM(E171:E172)</f>
        <v>0</v>
      </c>
      <c r="F170" s="27">
        <f>SUM(F171:F172)</f>
        <v>206.49</v>
      </c>
      <c r="G170" s="24" t="s">
        <v>3</v>
      </c>
      <c r="H170" s="24" t="s">
        <v>3</v>
      </c>
    </row>
    <row r="171" spans="1:8" x14ac:dyDescent="0.25">
      <c r="A171" s="5" t="s">
        <v>3</v>
      </c>
      <c r="B171" s="5" t="s">
        <v>3</v>
      </c>
      <c r="C171" s="5" t="s">
        <v>1146</v>
      </c>
      <c r="D171" s="6">
        <v>159.5</v>
      </c>
      <c r="E171" s="6">
        <v>0</v>
      </c>
      <c r="F171" s="6">
        <f>D171+E171</f>
        <v>159.5</v>
      </c>
      <c r="G171" s="5" t="s">
        <v>3</v>
      </c>
      <c r="H171" s="5" t="s">
        <v>3</v>
      </c>
    </row>
    <row r="172" spans="1:8" x14ac:dyDescent="0.25">
      <c r="A172" s="5" t="s">
        <v>3</v>
      </c>
      <c r="B172" s="5" t="s">
        <v>3</v>
      </c>
      <c r="C172" s="5" t="s">
        <v>1147</v>
      </c>
      <c r="D172" s="6">
        <v>46.99</v>
      </c>
      <c r="E172" s="6">
        <v>0</v>
      </c>
      <c r="F172" s="6">
        <f>D172+E172</f>
        <v>46.99</v>
      </c>
      <c r="G172" s="5" t="s">
        <v>3</v>
      </c>
      <c r="H172" s="5" t="s">
        <v>3</v>
      </c>
    </row>
    <row r="173" spans="1:8" x14ac:dyDescent="0.25">
      <c r="A173" s="24" t="s">
        <v>412</v>
      </c>
      <c r="B173" s="24" t="s">
        <v>413</v>
      </c>
      <c r="C173" s="24" t="s">
        <v>499</v>
      </c>
      <c r="D173" s="27">
        <f>SUM(D174:D174)</f>
        <v>97.18</v>
      </c>
      <c r="E173" s="27">
        <f>SUM(E174:E174)</f>
        <v>0</v>
      </c>
      <c r="F173" s="27">
        <f>SUM(F174:F174)</f>
        <v>97.18</v>
      </c>
      <c r="G173" s="24" t="s">
        <v>3</v>
      </c>
      <c r="H173" s="24" t="s">
        <v>3</v>
      </c>
    </row>
    <row r="174" spans="1:8" x14ac:dyDescent="0.25">
      <c r="A174" s="5" t="s">
        <v>3</v>
      </c>
      <c r="B174" s="5" t="s">
        <v>3</v>
      </c>
      <c r="C174" s="5" t="s">
        <v>1148</v>
      </c>
      <c r="D174" s="6">
        <v>97.18</v>
      </c>
      <c r="E174" s="6">
        <v>0</v>
      </c>
      <c r="F174" s="6">
        <f>D174+E174</f>
        <v>97.18</v>
      </c>
      <c r="G174" s="5" t="s">
        <v>3</v>
      </c>
      <c r="H174" s="5" t="s">
        <v>3</v>
      </c>
    </row>
    <row r="175" spans="1:8" x14ac:dyDescent="0.25">
      <c r="A175" s="24" t="s">
        <v>414</v>
      </c>
      <c r="B175" s="24" t="s">
        <v>415</v>
      </c>
      <c r="C175" s="24" t="s">
        <v>499</v>
      </c>
      <c r="D175" s="27">
        <f>SUM(D176:D178)</f>
        <v>11875.76</v>
      </c>
      <c r="E175" s="27">
        <f>SUM(E176:E178)</f>
        <v>0</v>
      </c>
      <c r="F175" s="27">
        <f>SUM(F176:F178)</f>
        <v>11875.76</v>
      </c>
      <c r="G175" s="24" t="s">
        <v>3</v>
      </c>
      <c r="H175" s="24" t="s">
        <v>3</v>
      </c>
    </row>
    <row r="176" spans="1:8" x14ac:dyDescent="0.25">
      <c r="A176" s="5" t="s">
        <v>3</v>
      </c>
      <c r="B176" s="5" t="s">
        <v>3</v>
      </c>
      <c r="C176" s="5" t="s">
        <v>1149</v>
      </c>
      <c r="D176" s="6">
        <v>6875</v>
      </c>
      <c r="E176" s="6">
        <v>0</v>
      </c>
      <c r="F176" s="6">
        <f>D176+E176</f>
        <v>6875</v>
      </c>
      <c r="G176" s="5" t="s">
        <v>3</v>
      </c>
      <c r="H176" s="5" t="s">
        <v>3</v>
      </c>
    </row>
    <row r="177" spans="1:8" x14ac:dyDescent="0.25">
      <c r="A177" s="5" t="s">
        <v>3</v>
      </c>
      <c r="B177" s="5" t="s">
        <v>3</v>
      </c>
      <c r="C177" s="5" t="s">
        <v>598</v>
      </c>
      <c r="D177" s="6">
        <v>4350.76</v>
      </c>
      <c r="E177" s="6">
        <v>0</v>
      </c>
      <c r="F177" s="6">
        <f>D177+E177</f>
        <v>4350.76</v>
      </c>
      <c r="G177" s="5" t="s">
        <v>3</v>
      </c>
      <c r="H177" s="5" t="s">
        <v>3</v>
      </c>
    </row>
    <row r="178" spans="1:8" x14ac:dyDescent="0.25">
      <c r="A178" s="5" t="s">
        <v>3</v>
      </c>
      <c r="B178" s="5" t="s">
        <v>3</v>
      </c>
      <c r="C178" s="5" t="s">
        <v>1150</v>
      </c>
      <c r="D178" s="6">
        <v>650</v>
      </c>
      <c r="E178" s="6">
        <v>0</v>
      </c>
      <c r="F178" s="6">
        <f>D178+E178</f>
        <v>650</v>
      </c>
      <c r="G178" s="5" t="s">
        <v>3</v>
      </c>
      <c r="H178" s="5" t="s">
        <v>3</v>
      </c>
    </row>
    <row r="179" spans="1:8" x14ac:dyDescent="0.25">
      <c r="A179" s="24" t="s">
        <v>422</v>
      </c>
      <c r="B179" s="24" t="s">
        <v>423</v>
      </c>
      <c r="C179" s="24" t="s">
        <v>499</v>
      </c>
      <c r="D179" s="27">
        <f>SUM(D180:D180)</f>
        <v>260</v>
      </c>
      <c r="E179" s="27">
        <f>SUM(E180:E180)</f>
        <v>0</v>
      </c>
      <c r="F179" s="27">
        <f>SUM(F180:F180)</f>
        <v>260</v>
      </c>
      <c r="G179" s="24" t="s">
        <v>3</v>
      </c>
      <c r="H179" s="24" t="s">
        <v>3</v>
      </c>
    </row>
    <row r="180" spans="1:8" x14ac:dyDescent="0.25">
      <c r="A180" s="5" t="s">
        <v>3</v>
      </c>
      <c r="B180" s="5" t="s">
        <v>3</v>
      </c>
      <c r="C180" s="5" t="s">
        <v>1151</v>
      </c>
      <c r="D180" s="6">
        <v>260</v>
      </c>
      <c r="E180" s="6">
        <v>0</v>
      </c>
      <c r="F180" s="6">
        <f>D180+E180</f>
        <v>260</v>
      </c>
      <c r="G180" s="5" t="s">
        <v>3</v>
      </c>
      <c r="H180" s="5" t="s">
        <v>3</v>
      </c>
    </row>
    <row r="181" spans="1:8" x14ac:dyDescent="0.25">
      <c r="A181" s="24" t="s">
        <v>424</v>
      </c>
      <c r="B181" s="24" t="s">
        <v>425</v>
      </c>
      <c r="C181" s="24" t="s">
        <v>499</v>
      </c>
      <c r="D181" s="27">
        <f>SUM(D182:D182)</f>
        <v>714588.92</v>
      </c>
      <c r="E181" s="27">
        <f>SUM(E182:E182)</f>
        <v>0</v>
      </c>
      <c r="F181" s="27">
        <f>SUM(F182:F182)</f>
        <v>714588.92</v>
      </c>
      <c r="G181" s="24" t="s">
        <v>3</v>
      </c>
      <c r="H181" s="24" t="s">
        <v>3</v>
      </c>
    </row>
    <row r="182" spans="1:8" x14ac:dyDescent="0.25">
      <c r="A182" s="5" t="s">
        <v>3</v>
      </c>
      <c r="B182" s="5" t="s">
        <v>3</v>
      </c>
      <c r="C182" s="5" t="s">
        <v>657</v>
      </c>
      <c r="D182" s="6">
        <v>714588.92</v>
      </c>
      <c r="E182" s="6">
        <v>0</v>
      </c>
      <c r="F182" s="6">
        <f>D182+E182</f>
        <v>714588.92</v>
      </c>
      <c r="G182" s="5" t="s">
        <v>3</v>
      </c>
      <c r="H182" s="5" t="s">
        <v>3</v>
      </c>
    </row>
    <row r="183" spans="1:8" x14ac:dyDescent="0.25">
      <c r="A183" s="24" t="s">
        <v>426</v>
      </c>
      <c r="B183" s="24" t="s">
        <v>427</v>
      </c>
      <c r="C183" s="24" t="s">
        <v>499</v>
      </c>
      <c r="D183" s="27">
        <f>SUM(D184:D184)</f>
        <v>606552.85</v>
      </c>
      <c r="E183" s="27">
        <f>SUM(E184:E184)</f>
        <v>0</v>
      </c>
      <c r="F183" s="27">
        <f>SUM(F184:F184)</f>
        <v>606552.85</v>
      </c>
      <c r="G183" s="24" t="s">
        <v>3</v>
      </c>
      <c r="H183" s="24" t="s">
        <v>3</v>
      </c>
    </row>
    <row r="184" spans="1:8" x14ac:dyDescent="0.25">
      <c r="A184" s="5" t="s">
        <v>3</v>
      </c>
      <c r="B184" s="5" t="s">
        <v>3</v>
      </c>
      <c r="C184" s="5" t="s">
        <v>658</v>
      </c>
      <c r="D184" s="6">
        <v>606552.85</v>
      </c>
      <c r="E184" s="6">
        <v>0</v>
      </c>
      <c r="F184" s="6">
        <f>D184+E184</f>
        <v>606552.85</v>
      </c>
      <c r="G184" s="5" t="s">
        <v>3</v>
      </c>
      <c r="H184" s="5" t="s">
        <v>3</v>
      </c>
    </row>
    <row r="185" spans="1:8" x14ac:dyDescent="0.25">
      <c r="A185" s="24" t="s">
        <v>430</v>
      </c>
      <c r="B185" s="24" t="s">
        <v>431</v>
      </c>
      <c r="C185" s="24" t="s">
        <v>499</v>
      </c>
      <c r="D185" s="27">
        <f>SUM(D186:D195)</f>
        <v>57095.5</v>
      </c>
      <c r="E185" s="27">
        <f>SUM(E186:E195)</f>
        <v>0</v>
      </c>
      <c r="F185" s="27">
        <f>SUM(F186:F195)</f>
        <v>57095.5</v>
      </c>
      <c r="G185" s="24" t="s">
        <v>3</v>
      </c>
      <c r="H185" s="24" t="s">
        <v>3</v>
      </c>
    </row>
    <row r="186" spans="1:8" x14ac:dyDescent="0.25">
      <c r="A186" s="5" t="s">
        <v>3</v>
      </c>
      <c r="B186" s="5" t="s">
        <v>3</v>
      </c>
      <c r="C186" s="5" t="s">
        <v>90</v>
      </c>
      <c r="D186" s="6">
        <v>27500</v>
      </c>
      <c r="E186" s="6">
        <v>0</v>
      </c>
      <c r="F186" s="6">
        <f>D186+E186</f>
        <v>27500</v>
      </c>
      <c r="G186" s="5" t="s">
        <v>3</v>
      </c>
      <c r="H186" s="5" t="s">
        <v>3</v>
      </c>
    </row>
    <row r="187" spans="1:8" x14ac:dyDescent="0.25">
      <c r="A187" s="5" t="s">
        <v>3</v>
      </c>
      <c r="B187" s="5" t="s">
        <v>3</v>
      </c>
      <c r="C187" s="5" t="s">
        <v>55</v>
      </c>
      <c r="D187" s="6">
        <v>20000</v>
      </c>
      <c r="E187" s="6">
        <v>0</v>
      </c>
      <c r="F187" s="6">
        <f>D187+E187</f>
        <v>20000</v>
      </c>
      <c r="G187" s="5" t="s">
        <v>3</v>
      </c>
      <c r="H187" s="5" t="s">
        <v>3</v>
      </c>
    </row>
    <row r="188" spans="1:8" x14ac:dyDescent="0.25">
      <c r="A188" s="5" t="s">
        <v>3</v>
      </c>
      <c r="B188" s="5" t="s">
        <v>3</v>
      </c>
      <c r="C188" s="5" t="s">
        <v>58</v>
      </c>
      <c r="D188" s="6">
        <v>5000</v>
      </c>
      <c r="E188" s="6">
        <v>0</v>
      </c>
      <c r="F188" s="6">
        <f>D188+E188</f>
        <v>5000</v>
      </c>
      <c r="G188" s="5" t="s">
        <v>3</v>
      </c>
      <c r="H188" s="5" t="s">
        <v>3</v>
      </c>
    </row>
    <row r="189" spans="1:8" x14ac:dyDescent="0.25">
      <c r="A189" s="5" t="s">
        <v>3</v>
      </c>
      <c r="B189" s="5" t="s">
        <v>3</v>
      </c>
      <c r="C189" s="5" t="s">
        <v>64</v>
      </c>
      <c r="D189" s="6">
        <v>1450</v>
      </c>
      <c r="E189" s="6">
        <v>0</v>
      </c>
      <c r="F189" s="6">
        <f>D189+E189</f>
        <v>1450</v>
      </c>
      <c r="G189" s="5" t="s">
        <v>3</v>
      </c>
      <c r="H189" s="5" t="s">
        <v>3</v>
      </c>
    </row>
    <row r="190" spans="1:8" x14ac:dyDescent="0.25">
      <c r="A190" s="5" t="s">
        <v>3</v>
      </c>
      <c r="B190" s="5" t="s">
        <v>3</v>
      </c>
      <c r="C190" s="5" t="s">
        <v>62</v>
      </c>
      <c r="D190" s="6">
        <v>1000</v>
      </c>
      <c r="E190" s="6">
        <v>0</v>
      </c>
      <c r="F190" s="6">
        <f>D190+E190</f>
        <v>1000</v>
      </c>
      <c r="G190" s="5" t="s">
        <v>3</v>
      </c>
      <c r="H190" s="5" t="s">
        <v>3</v>
      </c>
    </row>
    <row r="191" spans="1:8" x14ac:dyDescent="0.25">
      <c r="A191" s="5" t="s">
        <v>3</v>
      </c>
      <c r="B191" s="5" t="s">
        <v>3</v>
      </c>
      <c r="C191" s="5" t="s">
        <v>60</v>
      </c>
      <c r="D191" s="6">
        <v>1000</v>
      </c>
      <c r="E191" s="6">
        <v>0</v>
      </c>
      <c r="F191" s="6">
        <f>D191+E191</f>
        <v>1000</v>
      </c>
      <c r="G191" s="5" t="s">
        <v>3</v>
      </c>
      <c r="H191" s="5" t="s">
        <v>3</v>
      </c>
    </row>
    <row r="192" spans="1:8" x14ac:dyDescent="0.25">
      <c r="A192" s="5" t="s">
        <v>3</v>
      </c>
      <c r="B192" s="5" t="s">
        <v>3</v>
      </c>
      <c r="C192" s="5" t="s">
        <v>68</v>
      </c>
      <c r="D192" s="6">
        <v>700</v>
      </c>
      <c r="E192" s="6">
        <v>0</v>
      </c>
      <c r="F192" s="6">
        <f>D192+E192</f>
        <v>700</v>
      </c>
      <c r="G192" s="5" t="s">
        <v>3</v>
      </c>
      <c r="H192" s="5" t="s">
        <v>3</v>
      </c>
    </row>
    <row r="193" spans="1:8" x14ac:dyDescent="0.25">
      <c r="A193" s="5" t="s">
        <v>3</v>
      </c>
      <c r="B193" s="5" t="s">
        <v>3</v>
      </c>
      <c r="C193" s="5" t="s">
        <v>1152</v>
      </c>
      <c r="D193" s="6">
        <v>200</v>
      </c>
      <c r="E193" s="6">
        <v>0</v>
      </c>
      <c r="F193" s="6">
        <f>D193+E193</f>
        <v>200</v>
      </c>
      <c r="G193" s="5" t="s">
        <v>3</v>
      </c>
      <c r="H193" s="5" t="s">
        <v>3</v>
      </c>
    </row>
    <row r="194" spans="1:8" x14ac:dyDescent="0.25">
      <c r="A194" s="5" t="s">
        <v>3</v>
      </c>
      <c r="B194" s="5" t="s">
        <v>3</v>
      </c>
      <c r="C194" s="5" t="s">
        <v>70</v>
      </c>
      <c r="D194" s="6">
        <v>145.5</v>
      </c>
      <c r="E194" s="6">
        <v>0</v>
      </c>
      <c r="F194" s="6">
        <f>D194+E194</f>
        <v>145.5</v>
      </c>
      <c r="G194" s="5" t="s">
        <v>3</v>
      </c>
      <c r="H194" s="5" t="s">
        <v>3</v>
      </c>
    </row>
    <row r="195" spans="1:8" x14ac:dyDescent="0.25">
      <c r="A195" s="5" t="s">
        <v>3</v>
      </c>
      <c r="B195" s="5" t="s">
        <v>3</v>
      </c>
      <c r="C195" s="5" t="s">
        <v>1153</v>
      </c>
      <c r="D195" s="6">
        <v>100</v>
      </c>
      <c r="E195" s="6">
        <v>0</v>
      </c>
      <c r="F195" s="6">
        <f>D195+E195</f>
        <v>100</v>
      </c>
      <c r="G195" s="5" t="s">
        <v>3</v>
      </c>
      <c r="H195" s="5" t="s">
        <v>3</v>
      </c>
    </row>
    <row r="196" spans="1:8" x14ac:dyDescent="0.25">
      <c r="A196" s="24" t="s">
        <v>436</v>
      </c>
      <c r="B196" s="24" t="s">
        <v>437</v>
      </c>
      <c r="C196" s="24" t="s">
        <v>499</v>
      </c>
      <c r="D196" s="27">
        <f>SUM(D197:D197)</f>
        <v>6869.98</v>
      </c>
      <c r="E196" s="27">
        <f>SUM(E197:E197)</f>
        <v>0</v>
      </c>
      <c r="F196" s="27">
        <f>SUM(F197:F197)</f>
        <v>6869.98</v>
      </c>
      <c r="G196" s="24" t="s">
        <v>3</v>
      </c>
      <c r="H196" s="24" t="s">
        <v>3</v>
      </c>
    </row>
    <row r="197" spans="1:8" x14ac:dyDescent="0.25">
      <c r="A197" s="5" t="s">
        <v>3</v>
      </c>
      <c r="B197" s="5" t="s">
        <v>3</v>
      </c>
      <c r="C197" s="5" t="s">
        <v>595</v>
      </c>
      <c r="D197" s="6">
        <v>6869.98</v>
      </c>
      <c r="E197" s="6">
        <v>0</v>
      </c>
      <c r="F197" s="6">
        <f>D197+E197</f>
        <v>6869.98</v>
      </c>
      <c r="G197" s="5" t="s">
        <v>3</v>
      </c>
      <c r="H197" s="5" t="s">
        <v>3</v>
      </c>
    </row>
    <row r="198" spans="1:8" x14ac:dyDescent="0.25">
      <c r="A198" s="24" t="s">
        <v>444</v>
      </c>
      <c r="B198" s="24" t="s">
        <v>445</v>
      </c>
      <c r="C198" s="24" t="s">
        <v>499</v>
      </c>
      <c r="D198" s="27">
        <f>SUM(D199:D199)</f>
        <v>7.52</v>
      </c>
      <c r="E198" s="27">
        <f>SUM(E199:E199)</f>
        <v>0</v>
      </c>
      <c r="F198" s="27">
        <f>SUM(F199:F199)</f>
        <v>7.52</v>
      </c>
      <c r="G198" s="24" t="s">
        <v>3</v>
      </c>
      <c r="H198" s="24" t="s">
        <v>3</v>
      </c>
    </row>
    <row r="199" spans="1:8" x14ac:dyDescent="0.25">
      <c r="A199" s="5" t="s">
        <v>3</v>
      </c>
      <c r="B199" s="5" t="s">
        <v>3</v>
      </c>
      <c r="C199" s="5" t="s">
        <v>1154</v>
      </c>
      <c r="D199" s="6">
        <v>7.52</v>
      </c>
      <c r="E199" s="6">
        <v>0</v>
      </c>
      <c r="F199" s="6">
        <f>D199+E199</f>
        <v>7.52</v>
      </c>
      <c r="G199" s="5" t="s">
        <v>3</v>
      </c>
      <c r="H199" s="5" t="s">
        <v>3</v>
      </c>
    </row>
    <row r="200" spans="1:8" x14ac:dyDescent="0.25">
      <c r="A200" s="24" t="s">
        <v>446</v>
      </c>
      <c r="B200" s="24" t="s">
        <v>447</v>
      </c>
      <c r="C200" s="24" t="s">
        <v>499</v>
      </c>
      <c r="D200" s="27">
        <f>SUM(D201:D206)</f>
        <v>2640</v>
      </c>
      <c r="E200" s="27">
        <f>SUM(E201:E206)</f>
        <v>0</v>
      </c>
      <c r="F200" s="27">
        <f>SUM(F201:F206)</f>
        <v>2640</v>
      </c>
      <c r="G200" s="24" t="s">
        <v>3</v>
      </c>
      <c r="H200" s="24" t="s">
        <v>3</v>
      </c>
    </row>
    <row r="201" spans="1:8" x14ac:dyDescent="0.25">
      <c r="A201" s="5" t="s">
        <v>3</v>
      </c>
      <c r="B201" s="5" t="s">
        <v>3</v>
      </c>
      <c r="C201" s="5" t="s">
        <v>1155</v>
      </c>
      <c r="D201" s="6">
        <v>440</v>
      </c>
      <c r="E201" s="6">
        <v>0</v>
      </c>
      <c r="F201" s="6">
        <f>D201+E201</f>
        <v>440</v>
      </c>
      <c r="G201" s="5" t="s">
        <v>3</v>
      </c>
      <c r="H201" s="5" t="s">
        <v>3</v>
      </c>
    </row>
    <row r="202" spans="1:8" x14ac:dyDescent="0.25">
      <c r="A202" s="5" t="s">
        <v>3</v>
      </c>
      <c r="B202" s="5" t="s">
        <v>3</v>
      </c>
      <c r="C202" s="5" t="s">
        <v>1156</v>
      </c>
      <c r="D202" s="6">
        <v>440</v>
      </c>
      <c r="E202" s="6">
        <v>0</v>
      </c>
      <c r="F202" s="6">
        <f>D202+E202</f>
        <v>440</v>
      </c>
      <c r="G202" s="5" t="s">
        <v>3</v>
      </c>
      <c r="H202" s="5" t="s">
        <v>3</v>
      </c>
    </row>
    <row r="203" spans="1:8" x14ac:dyDescent="0.25">
      <c r="A203" s="5" t="s">
        <v>3</v>
      </c>
      <c r="B203" s="5" t="s">
        <v>3</v>
      </c>
      <c r="C203" s="5" t="s">
        <v>1157</v>
      </c>
      <c r="D203" s="6">
        <v>440</v>
      </c>
      <c r="E203" s="6">
        <v>0</v>
      </c>
      <c r="F203" s="6">
        <f>D203+E203</f>
        <v>440</v>
      </c>
      <c r="G203" s="5" t="s">
        <v>3</v>
      </c>
      <c r="H203" s="5" t="s">
        <v>3</v>
      </c>
    </row>
    <row r="204" spans="1:8" x14ac:dyDescent="0.25">
      <c r="A204" s="5" t="s">
        <v>3</v>
      </c>
      <c r="B204" s="5" t="s">
        <v>3</v>
      </c>
      <c r="C204" s="5" t="s">
        <v>1158</v>
      </c>
      <c r="D204" s="6">
        <v>440</v>
      </c>
      <c r="E204" s="6">
        <v>0</v>
      </c>
      <c r="F204" s="6">
        <f>D204+E204</f>
        <v>440</v>
      </c>
      <c r="G204" s="5" t="s">
        <v>3</v>
      </c>
      <c r="H204" s="5" t="s">
        <v>3</v>
      </c>
    </row>
    <row r="205" spans="1:8" x14ac:dyDescent="0.25">
      <c r="A205" s="5" t="s">
        <v>3</v>
      </c>
      <c r="B205" s="5" t="s">
        <v>3</v>
      </c>
      <c r="C205" s="5" t="s">
        <v>1159</v>
      </c>
      <c r="D205" s="6">
        <v>440</v>
      </c>
      <c r="E205" s="6">
        <v>0</v>
      </c>
      <c r="F205" s="6">
        <f>D205+E205</f>
        <v>440</v>
      </c>
      <c r="G205" s="5" t="s">
        <v>3</v>
      </c>
      <c r="H205" s="5" t="s">
        <v>3</v>
      </c>
    </row>
    <row r="206" spans="1:8" x14ac:dyDescent="0.25">
      <c r="A206" s="5" t="s">
        <v>3</v>
      </c>
      <c r="B206" s="5" t="s">
        <v>3</v>
      </c>
      <c r="C206" s="5" t="s">
        <v>1160</v>
      </c>
      <c r="D206" s="6">
        <v>440</v>
      </c>
      <c r="E206" s="6">
        <v>0</v>
      </c>
      <c r="F206" s="6">
        <f>D206+E206</f>
        <v>440</v>
      </c>
      <c r="G206" s="5" t="s">
        <v>3</v>
      </c>
      <c r="H206" s="5" t="s">
        <v>3</v>
      </c>
    </row>
    <row r="207" spans="1:8" x14ac:dyDescent="0.25">
      <c r="A207" s="24" t="s">
        <v>450</v>
      </c>
      <c r="B207" s="24" t="s">
        <v>451</v>
      </c>
      <c r="C207" s="24" t="s">
        <v>499</v>
      </c>
      <c r="D207" s="27">
        <f>SUM(D208:D208)</f>
        <v>14209.18</v>
      </c>
      <c r="E207" s="27">
        <f>SUM(E208:E208)</f>
        <v>0</v>
      </c>
      <c r="F207" s="27">
        <f>SUM(F208:F208)</f>
        <v>14209.18</v>
      </c>
      <c r="G207" s="24" t="s">
        <v>3</v>
      </c>
      <c r="H207" s="24" t="s">
        <v>3</v>
      </c>
    </row>
    <row r="208" spans="1:8" x14ac:dyDescent="0.25">
      <c r="A208" s="5" t="s">
        <v>3</v>
      </c>
      <c r="B208" s="5" t="s">
        <v>3</v>
      </c>
      <c r="C208" s="5" t="s">
        <v>666</v>
      </c>
      <c r="D208" s="6">
        <v>14209.18</v>
      </c>
      <c r="E208" s="6">
        <v>0</v>
      </c>
      <c r="F208" s="6">
        <f>D208+E208</f>
        <v>14209.18</v>
      </c>
      <c r="G208" s="5" t="s">
        <v>3</v>
      </c>
      <c r="H208" s="5" t="s">
        <v>3</v>
      </c>
    </row>
    <row r="209" spans="1:8" x14ac:dyDescent="0.25">
      <c r="A209" s="24" t="s">
        <v>452</v>
      </c>
      <c r="B209" s="24" t="s">
        <v>453</v>
      </c>
      <c r="C209" s="24" t="s">
        <v>499</v>
      </c>
      <c r="D209" s="27">
        <f>SUM(D210:D212)</f>
        <v>49706.21</v>
      </c>
      <c r="E209" s="27">
        <f>SUM(E210:E212)</f>
        <v>-39790.21</v>
      </c>
      <c r="F209" s="27">
        <f>SUM(F210:F212)</f>
        <v>9916</v>
      </c>
      <c r="G209" s="24" t="s">
        <v>3</v>
      </c>
      <c r="H209" s="24" t="s">
        <v>3</v>
      </c>
    </row>
    <row r="210" spans="1:8" x14ac:dyDescent="0.25">
      <c r="A210" s="5" t="s">
        <v>3</v>
      </c>
      <c r="B210" s="5" t="s">
        <v>3</v>
      </c>
      <c r="C210" s="5" t="s">
        <v>131</v>
      </c>
      <c r="D210" s="6">
        <v>28087.17</v>
      </c>
      <c r="E210" s="14">
        <v>-28087.17</v>
      </c>
      <c r="F210" s="6">
        <f>D210+E210</f>
        <v>0</v>
      </c>
      <c r="G210" s="15" t="s">
        <v>1116</v>
      </c>
      <c r="H210" s="5" t="s">
        <v>3</v>
      </c>
    </row>
    <row r="211" spans="1:8" x14ac:dyDescent="0.25">
      <c r="A211" s="5" t="s">
        <v>3</v>
      </c>
      <c r="B211" s="5" t="s">
        <v>3</v>
      </c>
      <c r="C211" s="5" t="s">
        <v>199</v>
      </c>
      <c r="D211" s="6">
        <v>11703.04</v>
      </c>
      <c r="E211" s="14">
        <v>-11703.04</v>
      </c>
      <c r="F211" s="6">
        <f>D211+E211</f>
        <v>0</v>
      </c>
      <c r="G211" s="15" t="s">
        <v>1117</v>
      </c>
      <c r="H211" s="5" t="s">
        <v>3</v>
      </c>
    </row>
    <row r="212" spans="1:8" x14ac:dyDescent="0.25">
      <c r="A212" s="5" t="s">
        <v>3</v>
      </c>
      <c r="B212" s="5" t="s">
        <v>3</v>
      </c>
      <c r="C212" s="5" t="s">
        <v>669</v>
      </c>
      <c r="D212" s="6">
        <v>9916</v>
      </c>
      <c r="E212" s="6">
        <v>0</v>
      </c>
      <c r="F212" s="6">
        <f>D212+E212</f>
        <v>9916</v>
      </c>
      <c r="G212" s="5" t="s">
        <v>3</v>
      </c>
      <c r="H212" s="5" t="s">
        <v>3</v>
      </c>
    </row>
    <row r="213" spans="1:8" x14ac:dyDescent="0.25">
      <c r="A213" s="24" t="s">
        <v>454</v>
      </c>
      <c r="B213" s="24" t="s">
        <v>455</v>
      </c>
      <c r="C213" s="24" t="s">
        <v>499</v>
      </c>
      <c r="D213" s="27">
        <f>SUM(D214:D216)</f>
        <v>9180</v>
      </c>
      <c r="E213" s="27">
        <f>SUM(E214:E216)</f>
        <v>0</v>
      </c>
      <c r="F213" s="27">
        <f>SUM(F214:F216)</f>
        <v>9180</v>
      </c>
      <c r="G213" s="24" t="s">
        <v>3</v>
      </c>
      <c r="H213" s="24" t="s">
        <v>3</v>
      </c>
    </row>
    <row r="214" spans="1:8" x14ac:dyDescent="0.25">
      <c r="A214" s="5" t="s">
        <v>3</v>
      </c>
      <c r="B214" s="5" t="s">
        <v>3</v>
      </c>
      <c r="C214" s="5" t="s">
        <v>670</v>
      </c>
      <c r="D214" s="6">
        <v>4780</v>
      </c>
      <c r="E214" s="6">
        <v>0</v>
      </c>
      <c r="F214" s="6">
        <f>D214+E214</f>
        <v>4780</v>
      </c>
      <c r="G214" s="5" t="s">
        <v>3</v>
      </c>
      <c r="H214" s="5" t="s">
        <v>3</v>
      </c>
    </row>
    <row r="215" spans="1:8" x14ac:dyDescent="0.25">
      <c r="A215" s="5" t="s">
        <v>3</v>
      </c>
      <c r="B215" s="5" t="s">
        <v>3</v>
      </c>
      <c r="C215" s="5" t="s">
        <v>840</v>
      </c>
      <c r="D215" s="6">
        <v>3600</v>
      </c>
      <c r="E215" s="6">
        <v>0</v>
      </c>
      <c r="F215" s="6">
        <f>D215+E215</f>
        <v>3600</v>
      </c>
      <c r="G215" s="5" t="s">
        <v>3</v>
      </c>
      <c r="H215" s="5" t="s">
        <v>3</v>
      </c>
    </row>
    <row r="216" spans="1:8" x14ac:dyDescent="0.25">
      <c r="A216" s="5" t="s">
        <v>3</v>
      </c>
      <c r="B216" s="5" t="s">
        <v>3</v>
      </c>
      <c r="C216" s="5" t="s">
        <v>66</v>
      </c>
      <c r="D216" s="6">
        <v>800</v>
      </c>
      <c r="E216" s="6">
        <v>0</v>
      </c>
      <c r="F216" s="6">
        <f>D216+E216</f>
        <v>800</v>
      </c>
      <c r="G216" s="5" t="s">
        <v>3</v>
      </c>
      <c r="H216" s="5" t="s">
        <v>3</v>
      </c>
    </row>
    <row r="217" spans="1:8" x14ac:dyDescent="0.25">
      <c r="A217" s="24" t="s">
        <v>456</v>
      </c>
      <c r="B217" s="24" t="s">
        <v>457</v>
      </c>
      <c r="C217" s="24" t="s">
        <v>499</v>
      </c>
      <c r="D217" s="27">
        <f>SUM(D218:D218)</f>
        <v>7500</v>
      </c>
      <c r="E217" s="27">
        <f>SUM(E218:E218)</f>
        <v>0</v>
      </c>
      <c r="F217" s="27">
        <f>SUM(F218:F218)</f>
        <v>7500</v>
      </c>
      <c r="G217" s="24" t="s">
        <v>3</v>
      </c>
      <c r="H217" s="24" t="s">
        <v>3</v>
      </c>
    </row>
    <row r="218" spans="1:8" x14ac:dyDescent="0.25">
      <c r="A218" s="5" t="s">
        <v>3</v>
      </c>
      <c r="B218" s="5" t="s">
        <v>3</v>
      </c>
      <c r="C218" s="5" t="s">
        <v>671</v>
      </c>
      <c r="D218" s="6">
        <v>7500</v>
      </c>
      <c r="E218" s="6">
        <v>0</v>
      </c>
      <c r="F218" s="6">
        <f>D218+E218</f>
        <v>7500</v>
      </c>
      <c r="G218" s="5" t="s">
        <v>3</v>
      </c>
      <c r="H218" s="5" t="s">
        <v>3</v>
      </c>
    </row>
    <row r="219" spans="1:8" x14ac:dyDescent="0.25">
      <c r="A219" s="24" t="s">
        <v>458</v>
      </c>
      <c r="B219" s="24" t="s">
        <v>459</v>
      </c>
      <c r="C219" s="24" t="s">
        <v>499</v>
      </c>
      <c r="D219" s="27">
        <f>SUM(D220:D275)</f>
        <v>626355.26</v>
      </c>
      <c r="E219" s="27">
        <f>SUM(E220:E275)</f>
        <v>-192722</v>
      </c>
      <c r="F219" s="27">
        <f>SUM(F220:F275)</f>
        <v>433633.26</v>
      </c>
      <c r="G219" s="24" t="s">
        <v>3</v>
      </c>
      <c r="H219" s="24" t="s">
        <v>3</v>
      </c>
    </row>
    <row r="220" spans="1:8" x14ac:dyDescent="0.25">
      <c r="A220" s="5" t="s">
        <v>3</v>
      </c>
      <c r="B220" s="5" t="s">
        <v>3</v>
      </c>
      <c r="C220" s="5" t="s">
        <v>85</v>
      </c>
      <c r="D220" s="6">
        <v>70000</v>
      </c>
      <c r="E220" s="14">
        <v>-70000</v>
      </c>
      <c r="F220" s="6">
        <f>D220+E220</f>
        <v>0</v>
      </c>
      <c r="G220" s="15" t="s">
        <v>1161</v>
      </c>
      <c r="H220" s="5" t="s">
        <v>3</v>
      </c>
    </row>
    <row r="221" spans="1:8" x14ac:dyDescent="0.25">
      <c r="A221" s="5" t="s">
        <v>3</v>
      </c>
      <c r="B221" s="5" t="s">
        <v>3</v>
      </c>
      <c r="C221" s="5" t="s">
        <v>185</v>
      </c>
      <c r="D221" s="6">
        <v>0</v>
      </c>
      <c r="E221" s="29">
        <v>-45000</v>
      </c>
      <c r="F221" s="6">
        <f>D221+E221</f>
        <v>-45000</v>
      </c>
      <c r="G221" s="23" t="s">
        <v>1162</v>
      </c>
      <c r="H221" s="5" t="s">
        <v>3</v>
      </c>
    </row>
    <row r="222" spans="1:8" x14ac:dyDescent="0.25">
      <c r="A222" s="5" t="s">
        <v>3</v>
      </c>
      <c r="B222" s="5" t="s">
        <v>3</v>
      </c>
      <c r="C222" s="5" t="s">
        <v>88</v>
      </c>
      <c r="D222" s="6">
        <v>0</v>
      </c>
      <c r="E222" s="29">
        <v>31278</v>
      </c>
      <c r="F222" s="6">
        <f>D222+E222</f>
        <v>31278</v>
      </c>
      <c r="G222" s="23" t="s">
        <v>1163</v>
      </c>
      <c r="H222" s="5" t="s">
        <v>3</v>
      </c>
    </row>
    <row r="223" spans="1:8" x14ac:dyDescent="0.25">
      <c r="A223" s="5" t="s">
        <v>3</v>
      </c>
      <c r="B223" s="5" t="s">
        <v>3</v>
      </c>
      <c r="C223" s="5" t="s">
        <v>126</v>
      </c>
      <c r="D223" s="6">
        <v>30000</v>
      </c>
      <c r="E223" s="14">
        <v>-30000</v>
      </c>
      <c r="F223" s="6">
        <f>D223+E223</f>
        <v>0</v>
      </c>
      <c r="G223" s="15" t="s">
        <v>1103</v>
      </c>
      <c r="H223" s="5" t="s">
        <v>3</v>
      </c>
    </row>
    <row r="224" spans="1:8" x14ac:dyDescent="0.25">
      <c r="A224" s="5" t="s">
        <v>3</v>
      </c>
      <c r="B224" s="5" t="s">
        <v>3</v>
      </c>
      <c r="C224" s="5" t="s">
        <v>128</v>
      </c>
      <c r="D224" s="6">
        <v>26000</v>
      </c>
      <c r="E224" s="14">
        <v>-26000</v>
      </c>
      <c r="F224" s="6">
        <f>D224+E224</f>
        <v>0</v>
      </c>
      <c r="G224" s="15" t="s">
        <v>1104</v>
      </c>
      <c r="H224" s="5" t="s">
        <v>3</v>
      </c>
    </row>
    <row r="225" spans="1:8" x14ac:dyDescent="0.25">
      <c r="A225" s="5" t="s">
        <v>3</v>
      </c>
      <c r="B225" s="5" t="s">
        <v>3</v>
      </c>
      <c r="C225" s="5" t="s">
        <v>72</v>
      </c>
      <c r="D225" s="6">
        <v>22000</v>
      </c>
      <c r="E225" s="14">
        <v>-22000</v>
      </c>
      <c r="F225" s="6">
        <f>D225+E225</f>
        <v>0</v>
      </c>
      <c r="G225" s="15" t="s">
        <v>1105</v>
      </c>
      <c r="H225" s="5" t="s">
        <v>3</v>
      </c>
    </row>
    <row r="226" spans="1:8" x14ac:dyDescent="0.25">
      <c r="A226" s="5" t="s">
        <v>3</v>
      </c>
      <c r="B226" s="5" t="s">
        <v>3</v>
      </c>
      <c r="C226" s="5" t="s">
        <v>79</v>
      </c>
      <c r="D226" s="6">
        <v>17500</v>
      </c>
      <c r="E226" s="14">
        <v>-17500</v>
      </c>
      <c r="F226" s="6">
        <f>D226+E226</f>
        <v>0</v>
      </c>
      <c r="G226" s="15" t="s">
        <v>1106</v>
      </c>
      <c r="H226" s="5" t="s">
        <v>3</v>
      </c>
    </row>
    <row r="227" spans="1:8" x14ac:dyDescent="0.25">
      <c r="A227" s="5" t="s">
        <v>3</v>
      </c>
      <c r="B227" s="5" t="s">
        <v>3</v>
      </c>
      <c r="C227" s="5" t="s">
        <v>197</v>
      </c>
      <c r="D227" s="6">
        <v>13500</v>
      </c>
      <c r="E227" s="14">
        <v>-13500</v>
      </c>
      <c r="F227" s="6">
        <f>D227+E227</f>
        <v>0</v>
      </c>
      <c r="G227" s="15" t="s">
        <v>1107</v>
      </c>
      <c r="H227" s="5" t="s">
        <v>3</v>
      </c>
    </row>
    <row r="228" spans="1:8" x14ac:dyDescent="0.25">
      <c r="A228" s="5" t="s">
        <v>3</v>
      </c>
      <c r="B228" s="5" t="s">
        <v>3</v>
      </c>
      <c r="C228" s="5" t="s">
        <v>273</v>
      </c>
      <c r="D228" s="6">
        <v>45000</v>
      </c>
      <c r="E228" s="6">
        <v>0</v>
      </c>
      <c r="F228" s="6">
        <f>D228+E228</f>
        <v>45000</v>
      </c>
      <c r="G228" s="5" t="s">
        <v>3</v>
      </c>
      <c r="H228" s="5" t="s">
        <v>3</v>
      </c>
    </row>
    <row r="229" spans="1:8" x14ac:dyDescent="0.25">
      <c r="A229" s="5" t="s">
        <v>3</v>
      </c>
      <c r="B229" s="5" t="s">
        <v>3</v>
      </c>
      <c r="C229" s="5" t="s">
        <v>678</v>
      </c>
      <c r="D229" s="6">
        <v>28671.5</v>
      </c>
      <c r="E229" s="6">
        <v>0</v>
      </c>
      <c r="F229" s="6">
        <f>D229+E229</f>
        <v>28671.5</v>
      </c>
      <c r="G229" s="5" t="s">
        <v>3</v>
      </c>
      <c r="H229" s="5" t="s">
        <v>3</v>
      </c>
    </row>
    <row r="230" spans="1:8" x14ac:dyDescent="0.25">
      <c r="A230" s="5" t="s">
        <v>3</v>
      </c>
      <c r="B230" s="5" t="s">
        <v>3</v>
      </c>
      <c r="C230" s="5" t="s">
        <v>833</v>
      </c>
      <c r="D230" s="6">
        <v>23400</v>
      </c>
      <c r="E230" s="6">
        <v>0</v>
      </c>
      <c r="F230" s="6">
        <f>D230+E230</f>
        <v>23400</v>
      </c>
      <c r="G230" s="5" t="s">
        <v>3</v>
      </c>
      <c r="H230" s="5" t="s">
        <v>3</v>
      </c>
    </row>
    <row r="231" spans="1:8" x14ac:dyDescent="0.25">
      <c r="A231" s="5" t="s">
        <v>3</v>
      </c>
      <c r="B231" s="5" t="s">
        <v>3</v>
      </c>
      <c r="C231" s="5" t="s">
        <v>683</v>
      </c>
      <c r="D231" s="6">
        <v>22937.2</v>
      </c>
      <c r="E231" s="6">
        <v>0</v>
      </c>
      <c r="F231" s="6">
        <f>D231+E231</f>
        <v>22937.2</v>
      </c>
      <c r="G231" s="5" t="s">
        <v>3</v>
      </c>
      <c r="H231" s="5" t="s">
        <v>3</v>
      </c>
    </row>
    <row r="232" spans="1:8" x14ac:dyDescent="0.25">
      <c r="A232" s="5" t="s">
        <v>3</v>
      </c>
      <c r="B232" s="5" t="s">
        <v>3</v>
      </c>
      <c r="C232" s="5" t="s">
        <v>686</v>
      </c>
      <c r="D232" s="6">
        <v>21511.07</v>
      </c>
      <c r="E232" s="6">
        <v>0</v>
      </c>
      <c r="F232" s="6">
        <f>D232+E232</f>
        <v>21511.07</v>
      </c>
      <c r="G232" s="5" t="s">
        <v>3</v>
      </c>
      <c r="H232" s="5" t="s">
        <v>3</v>
      </c>
    </row>
    <row r="233" spans="1:8" x14ac:dyDescent="0.25">
      <c r="A233" s="5" t="s">
        <v>3</v>
      </c>
      <c r="B233" s="5" t="s">
        <v>3</v>
      </c>
      <c r="C233" s="5" t="s">
        <v>136</v>
      </c>
      <c r="D233" s="6">
        <v>21280</v>
      </c>
      <c r="E233" s="6">
        <v>0</v>
      </c>
      <c r="F233" s="6">
        <f>D233+E233</f>
        <v>21280</v>
      </c>
      <c r="G233" s="5" t="s">
        <v>3</v>
      </c>
      <c r="H233" s="5" t="s">
        <v>3</v>
      </c>
    </row>
    <row r="234" spans="1:8" x14ac:dyDescent="0.25">
      <c r="A234" s="5" t="s">
        <v>3</v>
      </c>
      <c r="B234" s="5" t="s">
        <v>3</v>
      </c>
      <c r="C234" s="5" t="s">
        <v>734</v>
      </c>
      <c r="D234" s="6">
        <v>18000</v>
      </c>
      <c r="E234" s="6">
        <v>0</v>
      </c>
      <c r="F234" s="6">
        <f>D234+E234</f>
        <v>18000</v>
      </c>
      <c r="G234" s="5" t="s">
        <v>3</v>
      </c>
      <c r="H234" s="5" t="s">
        <v>3</v>
      </c>
    </row>
    <row r="235" spans="1:8" x14ac:dyDescent="0.25">
      <c r="A235" s="5" t="s">
        <v>3</v>
      </c>
      <c r="B235" s="5" t="s">
        <v>3</v>
      </c>
      <c r="C235" s="5" t="s">
        <v>690</v>
      </c>
      <c r="D235" s="6">
        <v>14596.4</v>
      </c>
      <c r="E235" s="6">
        <v>0</v>
      </c>
      <c r="F235" s="6">
        <f>D235+E235</f>
        <v>14596.4</v>
      </c>
      <c r="G235" s="5" t="s">
        <v>3</v>
      </c>
      <c r="H235" s="5" t="s">
        <v>3</v>
      </c>
    </row>
    <row r="236" spans="1:8" x14ac:dyDescent="0.25">
      <c r="A236" s="5" t="s">
        <v>3</v>
      </c>
      <c r="B236" s="5" t="s">
        <v>3</v>
      </c>
      <c r="C236" s="5" t="s">
        <v>218</v>
      </c>
      <c r="D236" s="6">
        <v>14075.1</v>
      </c>
      <c r="E236" s="6">
        <v>0</v>
      </c>
      <c r="F236" s="6">
        <f>D236+E236</f>
        <v>14075.1</v>
      </c>
      <c r="G236" s="5" t="s">
        <v>3</v>
      </c>
      <c r="H236" s="5" t="s">
        <v>3</v>
      </c>
    </row>
    <row r="237" spans="1:8" x14ac:dyDescent="0.25">
      <c r="A237" s="5" t="s">
        <v>3</v>
      </c>
      <c r="B237" s="5" t="s">
        <v>3</v>
      </c>
      <c r="C237" s="5" t="s">
        <v>1093</v>
      </c>
      <c r="D237" s="6">
        <v>14000</v>
      </c>
      <c r="E237" s="6">
        <v>0</v>
      </c>
      <c r="F237" s="6">
        <f>D237+E237</f>
        <v>14000</v>
      </c>
      <c r="G237" s="5" t="s">
        <v>3</v>
      </c>
      <c r="H237" s="5" t="s">
        <v>3</v>
      </c>
    </row>
    <row r="238" spans="1:8" x14ac:dyDescent="0.25">
      <c r="A238" s="5" t="s">
        <v>3</v>
      </c>
      <c r="B238" s="5" t="s">
        <v>3</v>
      </c>
      <c r="C238" s="5" t="s">
        <v>694</v>
      </c>
      <c r="D238" s="6">
        <v>13353.27</v>
      </c>
      <c r="E238" s="6">
        <v>0</v>
      </c>
      <c r="F238" s="6">
        <f>D238+E238</f>
        <v>13353.27</v>
      </c>
      <c r="G238" s="5" t="s">
        <v>3</v>
      </c>
      <c r="H238" s="5" t="s">
        <v>3</v>
      </c>
    </row>
    <row r="239" spans="1:8" x14ac:dyDescent="0.25">
      <c r="A239" s="5" t="s">
        <v>3</v>
      </c>
      <c r="B239" s="5" t="s">
        <v>3</v>
      </c>
      <c r="C239" s="5" t="s">
        <v>1026</v>
      </c>
      <c r="D239" s="6">
        <v>13000</v>
      </c>
      <c r="E239" s="6">
        <v>0</v>
      </c>
      <c r="F239" s="6">
        <f>D239+E239</f>
        <v>13000</v>
      </c>
      <c r="G239" s="5" t="s">
        <v>3</v>
      </c>
      <c r="H239" s="5" t="s">
        <v>3</v>
      </c>
    </row>
    <row r="240" spans="1:8" x14ac:dyDescent="0.25">
      <c r="A240" s="5" t="s">
        <v>3</v>
      </c>
      <c r="B240" s="5" t="s">
        <v>3</v>
      </c>
      <c r="C240" s="5" t="s">
        <v>698</v>
      </c>
      <c r="D240" s="6">
        <v>12500</v>
      </c>
      <c r="E240" s="6">
        <v>0</v>
      </c>
      <c r="F240" s="6">
        <f>D240+E240</f>
        <v>12500</v>
      </c>
      <c r="G240" s="5" t="s">
        <v>3</v>
      </c>
      <c r="H240" s="5" t="s">
        <v>3</v>
      </c>
    </row>
    <row r="241" spans="1:8" x14ac:dyDescent="0.25">
      <c r="A241" s="5" t="s">
        <v>3</v>
      </c>
      <c r="B241" s="5" t="s">
        <v>3</v>
      </c>
      <c r="C241" s="5" t="s">
        <v>692</v>
      </c>
      <c r="D241" s="6">
        <v>11000</v>
      </c>
      <c r="E241" s="6">
        <v>0</v>
      </c>
      <c r="F241" s="6">
        <f>D241+E241</f>
        <v>11000</v>
      </c>
      <c r="G241" s="5" t="s">
        <v>3</v>
      </c>
      <c r="H241" s="5" t="s">
        <v>3</v>
      </c>
    </row>
    <row r="242" spans="1:8" x14ac:dyDescent="0.25">
      <c r="A242" s="5" t="s">
        <v>3</v>
      </c>
      <c r="B242" s="5" t="s">
        <v>3</v>
      </c>
      <c r="C242" s="5" t="s">
        <v>695</v>
      </c>
      <c r="D242" s="6">
        <v>11000</v>
      </c>
      <c r="E242" s="6">
        <v>0</v>
      </c>
      <c r="F242" s="6">
        <f>D242+E242</f>
        <v>11000</v>
      </c>
      <c r="G242" s="5" t="s">
        <v>3</v>
      </c>
      <c r="H242" s="5" t="s">
        <v>3</v>
      </c>
    </row>
    <row r="243" spans="1:8" x14ac:dyDescent="0.25">
      <c r="A243" s="5" t="s">
        <v>3</v>
      </c>
      <c r="B243" s="5" t="s">
        <v>3</v>
      </c>
      <c r="C243" s="5" t="s">
        <v>720</v>
      </c>
      <c r="D243" s="6">
        <v>10000</v>
      </c>
      <c r="E243" s="6">
        <v>0</v>
      </c>
      <c r="F243" s="6">
        <f>D243+E243</f>
        <v>10000</v>
      </c>
      <c r="G243" s="5" t="s">
        <v>3</v>
      </c>
      <c r="H243" s="5" t="s">
        <v>3</v>
      </c>
    </row>
    <row r="244" spans="1:8" x14ac:dyDescent="0.25">
      <c r="A244" s="5" t="s">
        <v>3</v>
      </c>
      <c r="B244" s="5" t="s">
        <v>3</v>
      </c>
      <c r="C244" s="5" t="s">
        <v>308</v>
      </c>
      <c r="D244" s="6">
        <v>10000</v>
      </c>
      <c r="E244" s="6">
        <v>0</v>
      </c>
      <c r="F244" s="6">
        <f>D244+E244</f>
        <v>10000</v>
      </c>
      <c r="G244" s="5" t="s">
        <v>3</v>
      </c>
      <c r="H244" s="5" t="s">
        <v>3</v>
      </c>
    </row>
    <row r="245" spans="1:8" x14ac:dyDescent="0.25">
      <c r="A245" s="5" t="s">
        <v>3</v>
      </c>
      <c r="B245" s="5" t="s">
        <v>3</v>
      </c>
      <c r="C245" s="5" t="s">
        <v>835</v>
      </c>
      <c r="D245" s="6">
        <v>9000</v>
      </c>
      <c r="E245" s="6">
        <v>0</v>
      </c>
      <c r="F245" s="6">
        <f>D245+E245</f>
        <v>9000</v>
      </c>
      <c r="G245" s="5" t="s">
        <v>3</v>
      </c>
      <c r="H245" s="5" t="s">
        <v>3</v>
      </c>
    </row>
    <row r="246" spans="1:8" x14ac:dyDescent="0.25">
      <c r="A246" s="5" t="s">
        <v>3</v>
      </c>
      <c r="B246" s="5" t="s">
        <v>3</v>
      </c>
      <c r="C246" s="5" t="s">
        <v>280</v>
      </c>
      <c r="D246" s="6">
        <v>8500</v>
      </c>
      <c r="E246" s="6">
        <v>0</v>
      </c>
      <c r="F246" s="6">
        <f>D246+E246</f>
        <v>8500</v>
      </c>
      <c r="G246" s="5" t="s">
        <v>3</v>
      </c>
      <c r="H246" s="5" t="s">
        <v>3</v>
      </c>
    </row>
    <row r="247" spans="1:8" x14ac:dyDescent="0.25">
      <c r="A247" s="5" t="s">
        <v>3</v>
      </c>
      <c r="B247" s="5" t="s">
        <v>3</v>
      </c>
      <c r="C247" s="5" t="s">
        <v>290</v>
      </c>
      <c r="D247" s="6">
        <v>7850</v>
      </c>
      <c r="E247" s="6">
        <v>0</v>
      </c>
      <c r="F247" s="6">
        <f>D247+E247</f>
        <v>7850</v>
      </c>
      <c r="G247" s="5" t="s">
        <v>3</v>
      </c>
      <c r="H247" s="5" t="s">
        <v>3</v>
      </c>
    </row>
    <row r="248" spans="1:8" x14ac:dyDescent="0.25">
      <c r="A248" s="5" t="s">
        <v>3</v>
      </c>
      <c r="B248" s="5" t="s">
        <v>3</v>
      </c>
      <c r="C248" s="5" t="s">
        <v>140</v>
      </c>
      <c r="D248" s="6">
        <v>7618</v>
      </c>
      <c r="E248" s="6">
        <v>0</v>
      </c>
      <c r="F248" s="6">
        <f>D248+E248</f>
        <v>7618</v>
      </c>
      <c r="G248" s="5" t="s">
        <v>3</v>
      </c>
      <c r="H248" s="5" t="s">
        <v>3</v>
      </c>
    </row>
    <row r="249" spans="1:8" x14ac:dyDescent="0.25">
      <c r="A249" s="5" t="s">
        <v>3</v>
      </c>
      <c r="B249" s="5" t="s">
        <v>3</v>
      </c>
      <c r="C249" s="5" t="s">
        <v>702</v>
      </c>
      <c r="D249" s="6">
        <v>7298.2</v>
      </c>
      <c r="E249" s="6">
        <v>0</v>
      </c>
      <c r="F249" s="6">
        <f>D249+E249</f>
        <v>7298.2</v>
      </c>
      <c r="G249" s="5" t="s">
        <v>3</v>
      </c>
      <c r="H249" s="5" t="s">
        <v>3</v>
      </c>
    </row>
    <row r="250" spans="1:8" x14ac:dyDescent="0.25">
      <c r="A250" s="5" t="s">
        <v>3</v>
      </c>
      <c r="B250" s="5" t="s">
        <v>3</v>
      </c>
      <c r="C250" s="5" t="s">
        <v>1092</v>
      </c>
      <c r="D250" s="6">
        <v>7000</v>
      </c>
      <c r="E250" s="6">
        <v>0</v>
      </c>
      <c r="F250" s="6">
        <f>D250+E250</f>
        <v>7000</v>
      </c>
      <c r="G250" s="5" t="s">
        <v>3</v>
      </c>
      <c r="H250" s="5" t="s">
        <v>3</v>
      </c>
    </row>
    <row r="251" spans="1:8" x14ac:dyDescent="0.25">
      <c r="A251" s="5" t="s">
        <v>3</v>
      </c>
      <c r="B251" s="5" t="s">
        <v>3</v>
      </c>
      <c r="C251" s="5" t="s">
        <v>716</v>
      </c>
      <c r="D251" s="6">
        <v>6835</v>
      </c>
      <c r="E251" s="6">
        <v>0</v>
      </c>
      <c r="F251" s="6">
        <f>D251+E251</f>
        <v>6835</v>
      </c>
      <c r="G251" s="5" t="s">
        <v>3</v>
      </c>
      <c r="H251" s="5" t="s">
        <v>3</v>
      </c>
    </row>
    <row r="252" spans="1:8" x14ac:dyDescent="0.25">
      <c r="A252" s="5" t="s">
        <v>3</v>
      </c>
      <c r="B252" s="5" t="s">
        <v>3</v>
      </c>
      <c r="C252" s="5" t="s">
        <v>723</v>
      </c>
      <c r="D252" s="6">
        <v>6600</v>
      </c>
      <c r="E252" s="6">
        <v>0</v>
      </c>
      <c r="F252" s="6">
        <f>D252+E252</f>
        <v>6600</v>
      </c>
      <c r="G252" s="5" t="s">
        <v>3</v>
      </c>
      <c r="H252" s="5" t="s">
        <v>3</v>
      </c>
    </row>
    <row r="253" spans="1:8" x14ac:dyDescent="0.25">
      <c r="A253" s="5" t="s">
        <v>3</v>
      </c>
      <c r="B253" s="5" t="s">
        <v>3</v>
      </c>
      <c r="C253" s="5" t="s">
        <v>227</v>
      </c>
      <c r="D253" s="6">
        <v>6500</v>
      </c>
      <c r="E253" s="6">
        <v>0</v>
      </c>
      <c r="F253" s="6">
        <f>D253+E253</f>
        <v>6500</v>
      </c>
      <c r="G253" s="5" t="s">
        <v>3</v>
      </c>
      <c r="H253" s="5" t="s">
        <v>3</v>
      </c>
    </row>
    <row r="254" spans="1:8" x14ac:dyDescent="0.25">
      <c r="A254" s="5" t="s">
        <v>3</v>
      </c>
      <c r="B254" s="5" t="s">
        <v>3</v>
      </c>
      <c r="C254" s="5" t="s">
        <v>712</v>
      </c>
      <c r="D254" s="6">
        <v>6500</v>
      </c>
      <c r="E254" s="6">
        <v>0</v>
      </c>
      <c r="F254" s="6">
        <f>D254+E254</f>
        <v>6500</v>
      </c>
      <c r="G254" s="5" t="s">
        <v>3</v>
      </c>
      <c r="H254" s="5" t="s">
        <v>3</v>
      </c>
    </row>
    <row r="255" spans="1:8" x14ac:dyDescent="0.25">
      <c r="A255" s="5" t="s">
        <v>3</v>
      </c>
      <c r="B255" s="5" t="s">
        <v>3</v>
      </c>
      <c r="C255" s="5" t="s">
        <v>727</v>
      </c>
      <c r="D255" s="6">
        <v>6474.28</v>
      </c>
      <c r="E255" s="6">
        <v>0</v>
      </c>
      <c r="F255" s="6">
        <f>D255+E255</f>
        <v>6474.28</v>
      </c>
      <c r="G255" s="5" t="s">
        <v>3</v>
      </c>
      <c r="H255" s="5" t="s">
        <v>3</v>
      </c>
    </row>
    <row r="256" spans="1:8" x14ac:dyDescent="0.25">
      <c r="A256" s="5" t="s">
        <v>3</v>
      </c>
      <c r="B256" s="5" t="s">
        <v>3</v>
      </c>
      <c r="C256" s="5" t="s">
        <v>158</v>
      </c>
      <c r="D256" s="6">
        <v>6383.58</v>
      </c>
      <c r="E256" s="6">
        <v>0</v>
      </c>
      <c r="F256" s="6">
        <f>D256+E256</f>
        <v>6383.58</v>
      </c>
      <c r="G256" s="5" t="s">
        <v>3</v>
      </c>
      <c r="H256" s="5" t="s">
        <v>3</v>
      </c>
    </row>
    <row r="257" spans="1:8" x14ac:dyDescent="0.25">
      <c r="A257" s="5" t="s">
        <v>3</v>
      </c>
      <c r="B257" s="5" t="s">
        <v>3</v>
      </c>
      <c r="C257" s="5" t="s">
        <v>696</v>
      </c>
      <c r="D257" s="6">
        <v>6239.4</v>
      </c>
      <c r="E257" s="6">
        <v>0</v>
      </c>
      <c r="F257" s="6">
        <f>D257+E257</f>
        <v>6239.4</v>
      </c>
      <c r="G257" s="5" t="s">
        <v>3</v>
      </c>
      <c r="H257" s="5" t="s">
        <v>3</v>
      </c>
    </row>
    <row r="258" spans="1:8" x14ac:dyDescent="0.25">
      <c r="A258" s="5" t="s">
        <v>3</v>
      </c>
      <c r="B258" s="5" t="s">
        <v>3</v>
      </c>
      <c r="C258" s="5" t="s">
        <v>225</v>
      </c>
      <c r="D258" s="6">
        <v>6185.22</v>
      </c>
      <c r="E258" s="6">
        <v>0</v>
      </c>
      <c r="F258" s="6">
        <f>D258+E258</f>
        <v>6185.22</v>
      </c>
      <c r="G258" s="5" t="s">
        <v>3</v>
      </c>
      <c r="H258" s="5" t="s">
        <v>3</v>
      </c>
    </row>
    <row r="259" spans="1:8" x14ac:dyDescent="0.25">
      <c r="A259" s="5" t="s">
        <v>3</v>
      </c>
      <c r="B259" s="5" t="s">
        <v>3</v>
      </c>
      <c r="C259" s="5" t="s">
        <v>838</v>
      </c>
      <c r="D259" s="6">
        <v>6000</v>
      </c>
      <c r="E259" s="6">
        <v>0</v>
      </c>
      <c r="F259" s="6">
        <f>D259+E259</f>
        <v>6000</v>
      </c>
      <c r="G259" s="5" t="s">
        <v>3</v>
      </c>
      <c r="H259" s="5" t="s">
        <v>3</v>
      </c>
    </row>
    <row r="260" spans="1:8" x14ac:dyDescent="0.25">
      <c r="A260" s="5" t="s">
        <v>3</v>
      </c>
      <c r="B260" s="5" t="s">
        <v>3</v>
      </c>
      <c r="C260" s="5" t="s">
        <v>229</v>
      </c>
      <c r="D260" s="6">
        <v>5800</v>
      </c>
      <c r="E260" s="6">
        <v>0</v>
      </c>
      <c r="F260" s="6">
        <f>D260+E260</f>
        <v>5800</v>
      </c>
      <c r="G260" s="5" t="s">
        <v>3</v>
      </c>
      <c r="H260" s="5" t="s">
        <v>3</v>
      </c>
    </row>
    <row r="261" spans="1:8" x14ac:dyDescent="0.25">
      <c r="A261" s="5" t="s">
        <v>3</v>
      </c>
      <c r="B261" s="5" t="s">
        <v>3</v>
      </c>
      <c r="C261" s="5" t="s">
        <v>700</v>
      </c>
      <c r="D261" s="6">
        <v>5700</v>
      </c>
      <c r="E261" s="6">
        <v>0</v>
      </c>
      <c r="F261" s="6">
        <f>D261+E261</f>
        <v>5700</v>
      </c>
      <c r="G261" s="5" t="s">
        <v>3</v>
      </c>
      <c r="H261" s="5" t="s">
        <v>3</v>
      </c>
    </row>
    <row r="262" spans="1:8" x14ac:dyDescent="0.25">
      <c r="A262" s="5" t="s">
        <v>3</v>
      </c>
      <c r="B262" s="5" t="s">
        <v>3</v>
      </c>
      <c r="C262" s="5" t="s">
        <v>714</v>
      </c>
      <c r="D262" s="6">
        <v>5700</v>
      </c>
      <c r="E262" s="6">
        <v>0</v>
      </c>
      <c r="F262" s="6">
        <f>D262+E262</f>
        <v>5700</v>
      </c>
      <c r="G262" s="5" t="s">
        <v>3</v>
      </c>
      <c r="H262" s="5" t="s">
        <v>3</v>
      </c>
    </row>
    <row r="263" spans="1:8" x14ac:dyDescent="0.25">
      <c r="A263" s="5" t="s">
        <v>3</v>
      </c>
      <c r="B263" s="5" t="s">
        <v>3</v>
      </c>
      <c r="C263" s="5" t="s">
        <v>725</v>
      </c>
      <c r="D263" s="6">
        <v>3649.1</v>
      </c>
      <c r="E263" s="6">
        <v>0</v>
      </c>
      <c r="F263" s="6">
        <f>D263+E263</f>
        <v>3649.1</v>
      </c>
      <c r="G263" s="5" t="s">
        <v>3</v>
      </c>
      <c r="H263" s="5" t="s">
        <v>3</v>
      </c>
    </row>
    <row r="264" spans="1:8" x14ac:dyDescent="0.25">
      <c r="A264" s="5" t="s">
        <v>3</v>
      </c>
      <c r="B264" s="5" t="s">
        <v>3</v>
      </c>
      <c r="C264" s="5" t="s">
        <v>1164</v>
      </c>
      <c r="D264" s="6">
        <v>3600</v>
      </c>
      <c r="E264" s="6">
        <v>0</v>
      </c>
      <c r="F264" s="6">
        <f>D264+E264</f>
        <v>3600</v>
      </c>
      <c r="G264" s="5" t="s">
        <v>3</v>
      </c>
      <c r="H264" s="5" t="s">
        <v>3</v>
      </c>
    </row>
    <row r="265" spans="1:8" x14ac:dyDescent="0.25">
      <c r="A265" s="5" t="s">
        <v>3</v>
      </c>
      <c r="B265" s="5" t="s">
        <v>3</v>
      </c>
      <c r="C265" s="5" t="s">
        <v>730</v>
      </c>
      <c r="D265" s="6">
        <v>3500</v>
      </c>
      <c r="E265" s="6">
        <v>0</v>
      </c>
      <c r="F265" s="6">
        <f>D265+E265</f>
        <v>3500</v>
      </c>
      <c r="G265" s="5" t="s">
        <v>3</v>
      </c>
      <c r="H265" s="5" t="s">
        <v>3</v>
      </c>
    </row>
    <row r="266" spans="1:8" x14ac:dyDescent="0.25">
      <c r="A266" s="5" t="s">
        <v>3</v>
      </c>
      <c r="B266" s="5" t="s">
        <v>3</v>
      </c>
      <c r="C266" s="5" t="s">
        <v>729</v>
      </c>
      <c r="D266" s="6">
        <v>3127.8</v>
      </c>
      <c r="E266" s="6">
        <v>0</v>
      </c>
      <c r="F266" s="6">
        <f>D266+E266</f>
        <v>3127.8</v>
      </c>
      <c r="G266" s="5" t="s">
        <v>3</v>
      </c>
      <c r="H266" s="5" t="s">
        <v>3</v>
      </c>
    </row>
    <row r="267" spans="1:8" x14ac:dyDescent="0.25">
      <c r="A267" s="5" t="s">
        <v>3</v>
      </c>
      <c r="B267" s="5" t="s">
        <v>3</v>
      </c>
      <c r="C267" s="5" t="s">
        <v>859</v>
      </c>
      <c r="D267" s="6">
        <v>1980</v>
      </c>
      <c r="E267" s="6">
        <v>0</v>
      </c>
      <c r="F267" s="6">
        <f>D267+E267</f>
        <v>1980</v>
      </c>
      <c r="G267" s="5" t="s">
        <v>3</v>
      </c>
      <c r="H267" s="5" t="s">
        <v>3</v>
      </c>
    </row>
    <row r="268" spans="1:8" x14ac:dyDescent="0.25">
      <c r="A268" s="5" t="s">
        <v>3</v>
      </c>
      <c r="B268" s="5" t="s">
        <v>3</v>
      </c>
      <c r="C268" s="5" t="s">
        <v>166</v>
      </c>
      <c r="D268" s="6">
        <v>1874</v>
      </c>
      <c r="E268" s="6">
        <v>0</v>
      </c>
      <c r="F268" s="6">
        <f>D268+E268</f>
        <v>1874</v>
      </c>
      <c r="G268" s="5" t="s">
        <v>3</v>
      </c>
      <c r="H268" s="5" t="s">
        <v>3</v>
      </c>
    </row>
    <row r="269" spans="1:8" x14ac:dyDescent="0.25">
      <c r="A269" s="5" t="s">
        <v>3</v>
      </c>
      <c r="B269" s="5" t="s">
        <v>3</v>
      </c>
      <c r="C269" s="5" t="s">
        <v>737</v>
      </c>
      <c r="D269" s="6">
        <v>950</v>
      </c>
      <c r="E269" s="6">
        <v>0</v>
      </c>
      <c r="F269" s="6">
        <f>D269+E269</f>
        <v>950</v>
      </c>
      <c r="G269" s="5" t="s">
        <v>3</v>
      </c>
      <c r="H269" s="5" t="s">
        <v>3</v>
      </c>
    </row>
    <row r="270" spans="1:8" x14ac:dyDescent="0.25">
      <c r="A270" s="5" t="s">
        <v>3</v>
      </c>
      <c r="B270" s="5" t="s">
        <v>3</v>
      </c>
      <c r="C270" s="5" t="s">
        <v>298</v>
      </c>
      <c r="D270" s="6">
        <v>612.69</v>
      </c>
      <c r="E270" s="6">
        <v>0</v>
      </c>
      <c r="F270" s="6">
        <f>D270+E270</f>
        <v>612.69</v>
      </c>
      <c r="G270" s="5" t="s">
        <v>3</v>
      </c>
      <c r="H270" s="5" t="s">
        <v>3</v>
      </c>
    </row>
    <row r="271" spans="1:8" x14ac:dyDescent="0.25">
      <c r="A271" s="5" t="s">
        <v>3</v>
      </c>
      <c r="B271" s="5" t="s">
        <v>3</v>
      </c>
      <c r="C271" s="5" t="s">
        <v>739</v>
      </c>
      <c r="D271" s="6">
        <v>546.68</v>
      </c>
      <c r="E271" s="6">
        <v>0</v>
      </c>
      <c r="F271" s="6">
        <f>D271+E271</f>
        <v>546.68</v>
      </c>
      <c r="G271" s="5" t="s">
        <v>3</v>
      </c>
      <c r="H271" s="5" t="s">
        <v>3</v>
      </c>
    </row>
    <row r="272" spans="1:8" x14ac:dyDescent="0.25">
      <c r="A272" s="5" t="s">
        <v>3</v>
      </c>
      <c r="B272" s="5" t="s">
        <v>3</v>
      </c>
      <c r="C272" s="5" t="s">
        <v>741</v>
      </c>
      <c r="D272" s="6">
        <v>426.78</v>
      </c>
      <c r="E272" s="6">
        <v>0</v>
      </c>
      <c r="F272" s="6">
        <f>D272+E272</f>
        <v>426.78</v>
      </c>
      <c r="G272" s="5" t="s">
        <v>3</v>
      </c>
      <c r="H272" s="5" t="s">
        <v>3</v>
      </c>
    </row>
    <row r="273" spans="1:8" x14ac:dyDescent="0.25">
      <c r="A273" s="5" t="s">
        <v>3</v>
      </c>
      <c r="B273" s="5" t="s">
        <v>3</v>
      </c>
      <c r="C273" s="5" t="s">
        <v>860</v>
      </c>
      <c r="D273" s="6">
        <v>379.24</v>
      </c>
      <c r="E273" s="6">
        <v>0</v>
      </c>
      <c r="F273" s="6">
        <f>D273+E273</f>
        <v>379.24</v>
      </c>
      <c r="G273" s="5" t="s">
        <v>3</v>
      </c>
      <c r="H273" s="5" t="s">
        <v>3</v>
      </c>
    </row>
    <row r="274" spans="1:8" x14ac:dyDescent="0.25">
      <c r="A274" s="5" t="s">
        <v>3</v>
      </c>
      <c r="B274" s="5" t="s">
        <v>3</v>
      </c>
      <c r="C274" s="5" t="s">
        <v>742</v>
      </c>
      <c r="D274" s="6">
        <v>164.85</v>
      </c>
      <c r="E274" s="6">
        <v>0</v>
      </c>
      <c r="F274" s="6">
        <f>D274+E274</f>
        <v>164.85</v>
      </c>
      <c r="G274" s="5" t="s">
        <v>3</v>
      </c>
      <c r="H274" s="5" t="s">
        <v>3</v>
      </c>
    </row>
    <row r="275" spans="1:8" x14ac:dyDescent="0.25">
      <c r="A275" s="5" t="s">
        <v>3</v>
      </c>
      <c r="B275" s="5" t="s">
        <v>3</v>
      </c>
      <c r="C275" s="5" t="s">
        <v>744</v>
      </c>
      <c r="D275" s="6">
        <v>35.9</v>
      </c>
      <c r="E275" s="6">
        <v>0</v>
      </c>
      <c r="F275" s="6">
        <f>D275+E275</f>
        <v>35.9</v>
      </c>
      <c r="G275" s="5" t="s">
        <v>3</v>
      </c>
      <c r="H275" s="5" t="s">
        <v>3</v>
      </c>
    </row>
    <row r="276" spans="1:8" x14ac:dyDescent="0.25">
      <c r="A276" s="24" t="s">
        <v>460</v>
      </c>
      <c r="B276" s="24" t="s">
        <v>461</v>
      </c>
      <c r="C276" s="24" t="s">
        <v>499</v>
      </c>
      <c r="D276" s="27">
        <f>SUM(D277:D277)</f>
        <v>27500</v>
      </c>
      <c r="E276" s="27">
        <f>SUM(E277:E277)</f>
        <v>0</v>
      </c>
      <c r="F276" s="27">
        <f>SUM(F277:F277)</f>
        <v>27500</v>
      </c>
      <c r="G276" s="24" t="s">
        <v>3</v>
      </c>
      <c r="H276" s="24" t="s">
        <v>3</v>
      </c>
    </row>
    <row r="277" spans="1:8" x14ac:dyDescent="0.25">
      <c r="A277" s="5" t="s">
        <v>3</v>
      </c>
      <c r="B277" s="5" t="s">
        <v>3</v>
      </c>
      <c r="C277" s="5" t="s">
        <v>745</v>
      </c>
      <c r="D277" s="6">
        <v>27500</v>
      </c>
      <c r="E277" s="6">
        <v>0</v>
      </c>
      <c r="F277" s="6">
        <f>D277+E277</f>
        <v>27500</v>
      </c>
      <c r="G277" s="5" t="s">
        <v>3</v>
      </c>
      <c r="H277" s="5" t="s">
        <v>3</v>
      </c>
    </row>
    <row r="278" spans="1:8" x14ac:dyDescent="0.25">
      <c r="A278" s="24" t="s">
        <v>462</v>
      </c>
      <c r="B278" s="24" t="s">
        <v>463</v>
      </c>
      <c r="C278" s="24" t="s">
        <v>499</v>
      </c>
      <c r="D278" s="27">
        <f>SUM(D279:D280)</f>
        <v>7160</v>
      </c>
      <c r="E278" s="27">
        <f>SUM(E279:E280)</f>
        <v>0</v>
      </c>
      <c r="F278" s="27">
        <f>SUM(F279:F280)</f>
        <v>7160</v>
      </c>
      <c r="G278" s="24" t="s">
        <v>3</v>
      </c>
      <c r="H278" s="24" t="s">
        <v>3</v>
      </c>
    </row>
    <row r="279" spans="1:8" x14ac:dyDescent="0.25">
      <c r="A279" s="5" t="s">
        <v>3</v>
      </c>
      <c r="B279" s="5" t="s">
        <v>3</v>
      </c>
      <c r="C279" s="5" t="s">
        <v>747</v>
      </c>
      <c r="D279" s="6">
        <v>3600</v>
      </c>
      <c r="E279" s="6">
        <v>0</v>
      </c>
      <c r="F279" s="6">
        <f>D279+E279</f>
        <v>3600</v>
      </c>
      <c r="G279" s="5" t="s">
        <v>3</v>
      </c>
      <c r="H279" s="5" t="s">
        <v>3</v>
      </c>
    </row>
    <row r="280" spans="1:8" x14ac:dyDescent="0.25">
      <c r="A280" s="5" t="s">
        <v>3</v>
      </c>
      <c r="B280" s="5" t="s">
        <v>3</v>
      </c>
      <c r="C280" s="5" t="s">
        <v>748</v>
      </c>
      <c r="D280" s="6">
        <v>3560</v>
      </c>
      <c r="E280" s="6">
        <v>0</v>
      </c>
      <c r="F280" s="6">
        <f>D280+E280</f>
        <v>3560</v>
      </c>
      <c r="G280" s="5" t="s">
        <v>3</v>
      </c>
      <c r="H280" s="5" t="s">
        <v>3</v>
      </c>
    </row>
    <row r="281" spans="1:8" x14ac:dyDescent="0.25">
      <c r="A281" s="24" t="s">
        <v>464</v>
      </c>
      <c r="B281" s="24" t="s">
        <v>465</v>
      </c>
      <c r="C281" s="24" t="s">
        <v>499</v>
      </c>
      <c r="D281" s="27">
        <f>SUM(D282:D282)</f>
        <v>33307.14</v>
      </c>
      <c r="E281" s="27">
        <f>SUM(E282:E282)</f>
        <v>0</v>
      </c>
      <c r="F281" s="27">
        <f>SUM(F282:F282)</f>
        <v>33307.14</v>
      </c>
      <c r="G281" s="24" t="s">
        <v>3</v>
      </c>
      <c r="H281" s="24" t="s">
        <v>3</v>
      </c>
    </row>
    <row r="282" spans="1:8" x14ac:dyDescent="0.25">
      <c r="A282" s="5" t="s">
        <v>3</v>
      </c>
      <c r="B282" s="5" t="s">
        <v>3</v>
      </c>
      <c r="C282" s="5" t="s">
        <v>146</v>
      </c>
      <c r="D282" s="6">
        <v>33307.14</v>
      </c>
      <c r="E282" s="6">
        <v>0</v>
      </c>
      <c r="F282" s="6">
        <f>D282+E282</f>
        <v>33307.14</v>
      </c>
      <c r="G282" s="5" t="s">
        <v>3</v>
      </c>
      <c r="H282" s="5" t="s">
        <v>3</v>
      </c>
    </row>
    <row r="283" spans="1:8" x14ac:dyDescent="0.25">
      <c r="A283" s="24" t="s">
        <v>468</v>
      </c>
      <c r="B283" s="24" t="s">
        <v>469</v>
      </c>
      <c r="C283" s="24" t="s">
        <v>499</v>
      </c>
      <c r="D283" s="27">
        <f>SUM(D284:D284)</f>
        <v>45000</v>
      </c>
      <c r="E283" s="27">
        <f>SUM(E284:E284)</f>
        <v>0</v>
      </c>
      <c r="F283" s="27">
        <f>SUM(F284:F284)</f>
        <v>45000</v>
      </c>
      <c r="G283" s="24" t="s">
        <v>3</v>
      </c>
      <c r="H283" s="24" t="s">
        <v>3</v>
      </c>
    </row>
    <row r="284" spans="1:8" x14ac:dyDescent="0.25">
      <c r="A284" s="5" t="s">
        <v>3</v>
      </c>
      <c r="B284" s="5" t="s">
        <v>3</v>
      </c>
      <c r="C284" s="5" t="s">
        <v>298</v>
      </c>
      <c r="D284" s="6">
        <v>45000</v>
      </c>
      <c r="E284" s="6">
        <v>0</v>
      </c>
      <c r="F284" s="6">
        <f>D284+E284</f>
        <v>45000</v>
      </c>
      <c r="G284" s="5" t="s">
        <v>3</v>
      </c>
      <c r="H284" s="5" t="s">
        <v>3</v>
      </c>
    </row>
    <row r="285" spans="1:8" x14ac:dyDescent="0.25">
      <c r="A285" s="24" t="s">
        <v>472</v>
      </c>
      <c r="B285" s="24" t="s">
        <v>473</v>
      </c>
      <c r="C285" s="24" t="s">
        <v>499</v>
      </c>
      <c r="D285" s="27">
        <f>SUM(D286:D286)</f>
        <v>5154.73</v>
      </c>
      <c r="E285" s="27">
        <f>SUM(E286:E286)</f>
        <v>0</v>
      </c>
      <c r="F285" s="27">
        <f>SUM(F286:F286)</f>
        <v>5154.73</v>
      </c>
      <c r="G285" s="24" t="s">
        <v>3</v>
      </c>
      <c r="H285" s="24" t="s">
        <v>3</v>
      </c>
    </row>
    <row r="286" spans="1:8" x14ac:dyDescent="0.25">
      <c r="A286" s="5" t="s">
        <v>3</v>
      </c>
      <c r="B286" s="5" t="s">
        <v>3</v>
      </c>
      <c r="C286" s="5" t="s">
        <v>1165</v>
      </c>
      <c r="D286" s="6">
        <v>5154.73</v>
      </c>
      <c r="E286" s="6">
        <v>0</v>
      </c>
      <c r="F286" s="6">
        <f>D286+E286</f>
        <v>5154.73</v>
      </c>
      <c r="G286" s="5" t="s">
        <v>3</v>
      </c>
      <c r="H286" s="5" t="s">
        <v>3</v>
      </c>
    </row>
    <row r="287" spans="1:8" x14ac:dyDescent="0.25">
      <c r="A287" s="24" t="s">
        <v>474</v>
      </c>
      <c r="B287" s="24" t="s">
        <v>475</v>
      </c>
      <c r="C287" s="24" t="s">
        <v>499</v>
      </c>
      <c r="D287" s="27">
        <f>SUM(D288:D288)</f>
        <v>171.84</v>
      </c>
      <c r="E287" s="27">
        <f>SUM(E288:E288)</f>
        <v>0</v>
      </c>
      <c r="F287" s="27">
        <f>SUM(F288:F288)</f>
        <v>171.84</v>
      </c>
      <c r="G287" s="24" t="s">
        <v>3</v>
      </c>
      <c r="H287" s="24" t="s">
        <v>3</v>
      </c>
    </row>
    <row r="288" spans="1:8" x14ac:dyDescent="0.25">
      <c r="A288" s="5" t="s">
        <v>3</v>
      </c>
      <c r="B288" s="5" t="s">
        <v>3</v>
      </c>
      <c r="C288" s="5" t="s">
        <v>1166</v>
      </c>
      <c r="D288" s="6">
        <v>171.84</v>
      </c>
      <c r="E288" s="6">
        <v>0</v>
      </c>
      <c r="F288" s="6">
        <f>D288+E288</f>
        <v>171.84</v>
      </c>
      <c r="G288" s="5" t="s">
        <v>3</v>
      </c>
      <c r="H288" s="5" t="s">
        <v>3</v>
      </c>
    </row>
    <row r="289" spans="1:8" x14ac:dyDescent="0.25">
      <c r="A289" s="24" t="s">
        <v>479</v>
      </c>
      <c r="B289" s="24" t="s">
        <v>480</v>
      </c>
      <c r="C289" s="24" t="s">
        <v>499</v>
      </c>
      <c r="D289" s="27">
        <f>SUM(D290:D290)</f>
        <v>2769.1</v>
      </c>
      <c r="E289" s="27">
        <f>SUM(E290:E290)</f>
        <v>0</v>
      </c>
      <c r="F289" s="27">
        <f>SUM(F290:F290)</f>
        <v>2769.1</v>
      </c>
      <c r="G289" s="24" t="s">
        <v>3</v>
      </c>
      <c r="H289" s="24" t="s">
        <v>3</v>
      </c>
    </row>
    <row r="290" spans="1:8" x14ac:dyDescent="0.25">
      <c r="A290" s="5" t="s">
        <v>3</v>
      </c>
      <c r="B290" s="5" t="s">
        <v>3</v>
      </c>
      <c r="C290" s="5" t="s">
        <v>1167</v>
      </c>
      <c r="D290" s="6">
        <v>2769.1</v>
      </c>
      <c r="E290" s="6">
        <v>0</v>
      </c>
      <c r="F290" s="6">
        <f>D290+E290</f>
        <v>2769.1</v>
      </c>
      <c r="G290" s="5" t="s">
        <v>3</v>
      </c>
      <c r="H290" s="5" t="s">
        <v>3</v>
      </c>
    </row>
    <row r="291" spans="1:8" x14ac:dyDescent="0.25">
      <c r="A291" s="24" t="s">
        <v>483</v>
      </c>
      <c r="B291" s="24" t="s">
        <v>482</v>
      </c>
      <c r="C291" s="24" t="s">
        <v>499</v>
      </c>
      <c r="D291" s="27">
        <f>SUM(D292:D295)</f>
        <v>1570.59</v>
      </c>
      <c r="E291" s="27">
        <f>SUM(E292:E295)</f>
        <v>0</v>
      </c>
      <c r="F291" s="27">
        <f>SUM(F292:F295)</f>
        <v>1570.59</v>
      </c>
      <c r="G291" s="24" t="s">
        <v>3</v>
      </c>
      <c r="H291" s="24" t="s">
        <v>3</v>
      </c>
    </row>
    <row r="292" spans="1:8" x14ac:dyDescent="0.25">
      <c r="A292" s="5" t="s">
        <v>3</v>
      </c>
      <c r="B292" s="5" t="s">
        <v>3</v>
      </c>
      <c r="C292" s="5" t="s">
        <v>1168</v>
      </c>
      <c r="D292" s="6">
        <v>931.2</v>
      </c>
      <c r="E292" s="6">
        <v>0</v>
      </c>
      <c r="F292" s="6">
        <f>D292+E292</f>
        <v>931.2</v>
      </c>
      <c r="G292" s="5" t="s">
        <v>3</v>
      </c>
      <c r="H292" s="5" t="s">
        <v>3</v>
      </c>
    </row>
    <row r="293" spans="1:8" x14ac:dyDescent="0.25">
      <c r="A293" s="5" t="s">
        <v>3</v>
      </c>
      <c r="B293" s="5" t="s">
        <v>3</v>
      </c>
      <c r="C293" s="5" t="s">
        <v>1169</v>
      </c>
      <c r="D293" s="6">
        <v>351</v>
      </c>
      <c r="E293" s="6">
        <v>0</v>
      </c>
      <c r="F293" s="6">
        <f>D293+E293</f>
        <v>351</v>
      </c>
      <c r="G293" s="5" t="s">
        <v>3</v>
      </c>
      <c r="H293" s="5" t="s">
        <v>3</v>
      </c>
    </row>
    <row r="294" spans="1:8" x14ac:dyDescent="0.25">
      <c r="A294" s="5" t="s">
        <v>3</v>
      </c>
      <c r="B294" s="5" t="s">
        <v>3</v>
      </c>
      <c r="C294" s="5" t="s">
        <v>1170</v>
      </c>
      <c r="D294" s="6">
        <v>208.49</v>
      </c>
      <c r="E294" s="6">
        <v>0</v>
      </c>
      <c r="F294" s="6">
        <f>D294+E294</f>
        <v>208.49</v>
      </c>
      <c r="G294" s="5" t="s">
        <v>3</v>
      </c>
      <c r="H294" s="5" t="s">
        <v>3</v>
      </c>
    </row>
    <row r="295" spans="1:8" x14ac:dyDescent="0.25">
      <c r="A295" s="5" t="s">
        <v>3</v>
      </c>
      <c r="B295" s="5" t="s">
        <v>3</v>
      </c>
      <c r="C295" s="5" t="s">
        <v>1171</v>
      </c>
      <c r="D295" s="6">
        <v>79.9</v>
      </c>
      <c r="E295" s="6">
        <v>0</v>
      </c>
      <c r="F295" s="6">
        <f>D295+E295</f>
        <v>79.9</v>
      </c>
      <c r="G295" s="5" t="s">
        <v>3</v>
      </c>
      <c r="H295" s="5" t="s">
        <v>3</v>
      </c>
    </row>
    <row r="297" spans="1:8" x14ac:dyDescent="0.25">
      <c r="A297" s="13" t="s">
        <v>3</v>
      </c>
      <c r="B297" s="13" t="s">
        <v>3</v>
      </c>
      <c r="C297" s="13" t="s">
        <v>484</v>
      </c>
      <c r="D297" s="14">
        <f>D5+D35+D37+D41+D65</f>
        <v>1057146.89</v>
      </c>
      <c r="E297" s="14">
        <f>E5+E35+E37+E41+E65</f>
        <v>171009.44</v>
      </c>
      <c r="F297" s="14">
        <f>F5+F35+F37+F41+F65</f>
        <v>1228156.33</v>
      </c>
      <c r="G297" s="13" t="s">
        <v>3</v>
      </c>
      <c r="H297" s="13" t="s">
        <v>3</v>
      </c>
    </row>
    <row r="298" spans="1:8" x14ac:dyDescent="0.25">
      <c r="A298" s="13" t="s">
        <v>3</v>
      </c>
      <c r="B298" s="13" t="s">
        <v>3</v>
      </c>
      <c r="C298" s="13" t="s">
        <v>485</v>
      </c>
      <c r="D298" s="14">
        <f>D75+D77+D79+D82+D85+D114+D118+D121+D123+D128+D136+D148+D150+D155+D165+D168+D170+D173+D175+D179+D181+D183+D185+D196+D198+D200+D207+D209+D213+D217+D219+D276+D278+D281+D283+D285+D287+D289+D291</f>
        <v>2740110.39</v>
      </c>
      <c r="E298" s="14">
        <f>E75+E77+E79+E82+E85+E114+E118+E121+E123+E128+E136+E148+E150+E155+E165+E168+E170+E173+E175+E179+E181+E183+E185+E196+E198+E200+E207+E209+E213+E217+E219+E276+E278+E281+E283+E285+E287+E289+E291</f>
        <v>-236170.79</v>
      </c>
      <c r="F298" s="14">
        <f>F75+F77+F79+F82+F85+F114+F118+F121+F123+F128+F136+F148+F150+F155+F165+F168+F170+F173+F175+F179+F181+F183+F185+F196+F198+F200+F207+F209+F213+F217+F219+F276+F278+F281+F283+F285+F287+F289+F291</f>
        <v>2503939.6</v>
      </c>
      <c r="G298" s="13" t="s">
        <v>3</v>
      </c>
      <c r="H298" s="13" t="s">
        <v>3</v>
      </c>
    </row>
    <row r="299" spans="1:8" x14ac:dyDescent="0.25">
      <c r="A299" s="19" t="s">
        <v>3</v>
      </c>
      <c r="B299" s="19" t="s">
        <v>3</v>
      </c>
      <c r="C299" s="19" t="s">
        <v>773</v>
      </c>
      <c r="D299" s="20">
        <f>D297+D298</f>
        <v>3797257.28</v>
      </c>
      <c r="E299" s="20">
        <f>E297+E298</f>
        <v>-65161.35</v>
      </c>
      <c r="F299" s="20">
        <f>F297+F298</f>
        <v>3732095.93</v>
      </c>
      <c r="G299" s="19" t="s">
        <v>3</v>
      </c>
      <c r="H299" s="19" t="s">
        <v>3</v>
      </c>
    </row>
  </sheetData>
  <autoFilter ref="A4:H295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6" customWidth="1"/>
    <col min="4" max="4" width="15" customWidth="1"/>
    <col min="5" max="5" width="14" customWidth="1"/>
    <col min="6" max="6" width="15" customWidth="1"/>
    <col min="7" max="7" width="11" customWidth="1"/>
    <col min="8" max="8" width="70" customWidth="1"/>
  </cols>
  <sheetData>
    <row r="1" ht="26" customHeight="1" spans="1:8" x14ac:dyDescent="0.25">
      <c r="A1" s="1" t="s">
        <v>1172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493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4" t="s">
        <v>360</v>
      </c>
      <c r="B4" s="4" t="s">
        <v>361</v>
      </c>
      <c r="C4" s="4" t="s">
        <v>34</v>
      </c>
      <c r="D4" s="4" t="s">
        <v>494</v>
      </c>
      <c r="E4" s="4" t="s">
        <v>495</v>
      </c>
      <c r="F4" s="4" t="s">
        <v>496</v>
      </c>
      <c r="G4" s="4" t="s">
        <v>497</v>
      </c>
      <c r="H4" s="4" t="s">
        <v>498</v>
      </c>
    </row>
    <row r="5" spans="1:8" x14ac:dyDescent="0.25">
      <c r="A5" s="24" t="s">
        <v>362</v>
      </c>
      <c r="B5" s="24" t="s">
        <v>363</v>
      </c>
      <c r="C5" s="24" t="s">
        <v>499</v>
      </c>
      <c r="D5" s="27">
        <f>SUM(D6:D40)</f>
        <v>273982.74</v>
      </c>
      <c r="E5" s="27">
        <f>SUM(E6:E40)</f>
        <v>93476.06</v>
      </c>
      <c r="F5" s="27">
        <f>SUM(F6:F40)</f>
        <v>367458.8</v>
      </c>
      <c r="G5" s="24" t="s">
        <v>3</v>
      </c>
      <c r="H5" s="24" t="s">
        <v>3</v>
      </c>
    </row>
    <row r="6" spans="1:8" x14ac:dyDescent="0.25">
      <c r="A6" s="5" t="s">
        <v>3</v>
      </c>
      <c r="B6" s="5" t="s">
        <v>3</v>
      </c>
      <c r="C6" s="5" t="s">
        <v>136</v>
      </c>
      <c r="D6" s="6">
        <v>0</v>
      </c>
      <c r="E6" s="14">
        <v>40280</v>
      </c>
      <c r="F6" s="6">
        <f>D6+E6</f>
        <v>40280</v>
      </c>
      <c r="G6" s="15" t="s">
        <v>1173</v>
      </c>
      <c r="H6" s="5" t="s">
        <v>3</v>
      </c>
    </row>
    <row r="7" spans="1:8" x14ac:dyDescent="0.25">
      <c r="A7" s="5" t="s">
        <v>3</v>
      </c>
      <c r="B7" s="5" t="s">
        <v>3</v>
      </c>
      <c r="C7" s="5" t="s">
        <v>126</v>
      </c>
      <c r="D7" s="6">
        <v>0</v>
      </c>
      <c r="E7" s="14">
        <v>30000</v>
      </c>
      <c r="F7" s="6">
        <f>D7+E7</f>
        <v>30000</v>
      </c>
      <c r="G7" s="15" t="s">
        <v>1174</v>
      </c>
      <c r="H7" s="5" t="s">
        <v>3</v>
      </c>
    </row>
    <row r="8" spans="1:8" x14ac:dyDescent="0.25">
      <c r="A8" s="5" t="s">
        <v>3</v>
      </c>
      <c r="B8" s="5" t="s">
        <v>3</v>
      </c>
      <c r="C8" s="5" t="s">
        <v>128</v>
      </c>
      <c r="D8" s="6">
        <v>0</v>
      </c>
      <c r="E8" s="14">
        <v>26000</v>
      </c>
      <c r="F8" s="6">
        <f>D8+E8</f>
        <v>26000</v>
      </c>
      <c r="G8" s="15" t="s">
        <v>1175</v>
      </c>
      <c r="H8" s="5" t="s">
        <v>3</v>
      </c>
    </row>
    <row r="9" spans="1:8" x14ac:dyDescent="0.25">
      <c r="A9" s="5" t="s">
        <v>3</v>
      </c>
      <c r="B9" s="5" t="s">
        <v>3</v>
      </c>
      <c r="C9" s="5" t="s">
        <v>282</v>
      </c>
      <c r="D9" s="6">
        <v>0</v>
      </c>
      <c r="E9" s="29">
        <v>7882.06</v>
      </c>
      <c r="F9" s="6">
        <f>D9+E9</f>
        <v>7882.06</v>
      </c>
      <c r="G9" s="23" t="s">
        <v>1176</v>
      </c>
      <c r="H9" s="5" t="s">
        <v>3</v>
      </c>
    </row>
    <row r="10" spans="1:8" x14ac:dyDescent="0.25">
      <c r="A10" s="5" t="s">
        <v>3</v>
      </c>
      <c r="B10" s="5" t="s">
        <v>3</v>
      </c>
      <c r="C10" s="5" t="s">
        <v>222</v>
      </c>
      <c r="D10" s="6">
        <v>6906</v>
      </c>
      <c r="E10" s="28">
        <v>-6906</v>
      </c>
      <c r="F10" s="6">
        <f>D10+E10</f>
        <v>0</v>
      </c>
      <c r="G10" s="22" t="s">
        <v>1177</v>
      </c>
      <c r="H10" s="5" t="s">
        <v>3</v>
      </c>
    </row>
    <row r="11" spans="1:8" x14ac:dyDescent="0.25">
      <c r="A11" s="5" t="s">
        <v>3</v>
      </c>
      <c r="B11" s="5" t="s">
        <v>3</v>
      </c>
      <c r="C11" s="5" t="s">
        <v>231</v>
      </c>
      <c r="D11" s="6">
        <v>3780</v>
      </c>
      <c r="E11" s="28">
        <v>-3780</v>
      </c>
      <c r="F11" s="6">
        <f>D11+E11</f>
        <v>0</v>
      </c>
      <c r="G11" s="22" t="s">
        <v>1178</v>
      </c>
      <c r="H11" s="5" t="s">
        <v>3</v>
      </c>
    </row>
    <row r="12" spans="1:8" x14ac:dyDescent="0.25">
      <c r="A12" s="5" t="s">
        <v>3</v>
      </c>
      <c r="B12" s="5" t="s">
        <v>3</v>
      </c>
      <c r="C12" s="5" t="s">
        <v>79</v>
      </c>
      <c r="D12" s="6">
        <v>23333.33</v>
      </c>
      <c r="E12" s="6">
        <v>0</v>
      </c>
      <c r="F12" s="6">
        <f>D12+E12</f>
        <v>23333.33</v>
      </c>
      <c r="G12" s="5" t="s">
        <v>3</v>
      </c>
      <c r="H12" s="5" t="s">
        <v>3</v>
      </c>
    </row>
    <row r="13" spans="1:8" x14ac:dyDescent="0.25">
      <c r="A13" s="5" t="s">
        <v>3</v>
      </c>
      <c r="B13" s="5" t="s">
        <v>3</v>
      </c>
      <c r="C13" s="5" t="s">
        <v>518</v>
      </c>
      <c r="D13" s="6">
        <v>20000</v>
      </c>
      <c r="E13" s="6">
        <v>0</v>
      </c>
      <c r="F13" s="6">
        <f>D13+E13</f>
        <v>20000</v>
      </c>
      <c r="G13" s="5" t="s">
        <v>3</v>
      </c>
      <c r="H13" s="5" t="s">
        <v>3</v>
      </c>
    </row>
    <row r="14" spans="1:8" x14ac:dyDescent="0.25">
      <c r="A14" s="5" t="s">
        <v>3</v>
      </c>
      <c r="B14" s="5" t="s">
        <v>3</v>
      </c>
      <c r="C14" s="5" t="s">
        <v>53</v>
      </c>
      <c r="D14" s="6">
        <v>19000</v>
      </c>
      <c r="E14" s="6">
        <v>0</v>
      </c>
      <c r="F14" s="6">
        <f>D14+E14</f>
        <v>19000</v>
      </c>
      <c r="G14" s="5" t="s">
        <v>3</v>
      </c>
      <c r="H14" s="5" t="s">
        <v>3</v>
      </c>
    </row>
    <row r="15" spans="1:8" x14ac:dyDescent="0.25">
      <c r="A15" s="5" t="s">
        <v>3</v>
      </c>
      <c r="B15" s="5" t="s">
        <v>3</v>
      </c>
      <c r="C15" s="5" t="s">
        <v>506</v>
      </c>
      <c r="D15" s="6">
        <v>18700</v>
      </c>
      <c r="E15" s="6">
        <v>0</v>
      </c>
      <c r="F15" s="6">
        <f>D15+E15</f>
        <v>18700</v>
      </c>
      <c r="G15" s="5" t="s">
        <v>3</v>
      </c>
      <c r="H15" s="5" t="s">
        <v>3</v>
      </c>
    </row>
    <row r="16" spans="1:8" x14ac:dyDescent="0.25">
      <c r="A16" s="5" t="s">
        <v>3</v>
      </c>
      <c r="B16" s="5" t="s">
        <v>3</v>
      </c>
      <c r="C16" s="5" t="s">
        <v>138</v>
      </c>
      <c r="D16" s="6">
        <v>17500</v>
      </c>
      <c r="E16" s="6">
        <v>0</v>
      </c>
      <c r="F16" s="6">
        <f>D16+E16</f>
        <v>17500</v>
      </c>
      <c r="G16" s="5" t="s">
        <v>3</v>
      </c>
      <c r="H16" s="5" t="s">
        <v>3</v>
      </c>
    </row>
    <row r="17" spans="1:8" x14ac:dyDescent="0.25">
      <c r="A17" s="5" t="s">
        <v>3</v>
      </c>
      <c r="B17" s="5" t="s">
        <v>3</v>
      </c>
      <c r="C17" s="5" t="s">
        <v>1179</v>
      </c>
      <c r="D17" s="6">
        <v>17000</v>
      </c>
      <c r="E17" s="6">
        <v>0</v>
      </c>
      <c r="F17" s="6">
        <f>D17+E17</f>
        <v>17000</v>
      </c>
      <c r="G17" s="5" t="s">
        <v>3</v>
      </c>
      <c r="H17" s="5" t="s">
        <v>3</v>
      </c>
    </row>
    <row r="18" spans="1:8" x14ac:dyDescent="0.25">
      <c r="A18" s="5" t="s">
        <v>3</v>
      </c>
      <c r="B18" s="5" t="s">
        <v>3</v>
      </c>
      <c r="C18" s="5" t="s">
        <v>510</v>
      </c>
      <c r="D18" s="6">
        <v>16000</v>
      </c>
      <c r="E18" s="6">
        <v>0</v>
      </c>
      <c r="F18" s="6">
        <f>D18+E18</f>
        <v>16000</v>
      </c>
      <c r="G18" s="5" t="s">
        <v>3</v>
      </c>
      <c r="H18" s="5" t="s">
        <v>3</v>
      </c>
    </row>
    <row r="19" spans="1:8" x14ac:dyDescent="0.25">
      <c r="A19" s="5" t="s">
        <v>3</v>
      </c>
      <c r="B19" s="5" t="s">
        <v>3</v>
      </c>
      <c r="C19" s="5" t="s">
        <v>508</v>
      </c>
      <c r="D19" s="6">
        <v>15736.75</v>
      </c>
      <c r="E19" s="6">
        <v>0</v>
      </c>
      <c r="F19" s="6">
        <f>D19+E19</f>
        <v>15736.75</v>
      </c>
      <c r="G19" s="5" t="s">
        <v>3</v>
      </c>
      <c r="H19" s="5" t="s">
        <v>3</v>
      </c>
    </row>
    <row r="20" spans="1:8" x14ac:dyDescent="0.25">
      <c r="A20" s="5" t="s">
        <v>3</v>
      </c>
      <c r="B20" s="5" t="s">
        <v>3</v>
      </c>
      <c r="C20" s="5" t="s">
        <v>1180</v>
      </c>
      <c r="D20" s="6">
        <v>-15500</v>
      </c>
      <c r="E20" s="6">
        <v>0</v>
      </c>
      <c r="F20" s="6">
        <f>D20+E20</f>
        <v>-15500</v>
      </c>
      <c r="G20" s="5" t="s">
        <v>3</v>
      </c>
      <c r="H20" s="5" t="s">
        <v>1181</v>
      </c>
    </row>
    <row r="21" spans="1:8" x14ac:dyDescent="0.25">
      <c r="A21" s="5" t="s">
        <v>3</v>
      </c>
      <c r="B21" s="5" t="s">
        <v>3</v>
      </c>
      <c r="C21" s="5" t="s">
        <v>1182</v>
      </c>
      <c r="D21" s="6">
        <v>-15500</v>
      </c>
      <c r="E21" s="6">
        <v>0</v>
      </c>
      <c r="F21" s="6">
        <f>D21+E21</f>
        <v>-15500</v>
      </c>
      <c r="G21" s="5" t="s">
        <v>3</v>
      </c>
      <c r="H21" s="5" t="s">
        <v>1181</v>
      </c>
    </row>
    <row r="22" spans="1:8" x14ac:dyDescent="0.25">
      <c r="A22" s="5" t="s">
        <v>3</v>
      </c>
      <c r="B22" s="5" t="s">
        <v>3</v>
      </c>
      <c r="C22" s="5" t="s">
        <v>516</v>
      </c>
      <c r="D22" s="6">
        <v>14000</v>
      </c>
      <c r="E22" s="6">
        <v>0</v>
      </c>
      <c r="F22" s="6">
        <f>D22+E22</f>
        <v>14000</v>
      </c>
      <c r="G22" s="5" t="s">
        <v>3</v>
      </c>
      <c r="H22" s="5" t="s">
        <v>3</v>
      </c>
    </row>
    <row r="23" spans="1:8" x14ac:dyDescent="0.25">
      <c r="A23" s="5" t="s">
        <v>3</v>
      </c>
      <c r="B23" s="5" t="s">
        <v>3</v>
      </c>
      <c r="C23" s="5" t="s">
        <v>514</v>
      </c>
      <c r="D23" s="6">
        <v>13500</v>
      </c>
      <c r="E23" s="6">
        <v>0</v>
      </c>
      <c r="F23" s="6">
        <f>D23+E23</f>
        <v>13500</v>
      </c>
      <c r="G23" s="5" t="s">
        <v>3</v>
      </c>
      <c r="H23" s="5" t="s">
        <v>3</v>
      </c>
    </row>
    <row r="24" spans="1:8" x14ac:dyDescent="0.25">
      <c r="A24" s="5" t="s">
        <v>3</v>
      </c>
      <c r="B24" s="5" t="s">
        <v>3</v>
      </c>
      <c r="C24" s="5" t="s">
        <v>526</v>
      </c>
      <c r="D24" s="6">
        <v>13000</v>
      </c>
      <c r="E24" s="6">
        <v>0</v>
      </c>
      <c r="F24" s="6">
        <f>D24+E24</f>
        <v>13000</v>
      </c>
      <c r="G24" s="5" t="s">
        <v>3</v>
      </c>
      <c r="H24" s="5" t="s">
        <v>3</v>
      </c>
    </row>
    <row r="25" spans="1:8" x14ac:dyDescent="0.25">
      <c r="A25" s="5" t="s">
        <v>3</v>
      </c>
      <c r="B25" s="5" t="s">
        <v>3</v>
      </c>
      <c r="C25" s="5" t="s">
        <v>527</v>
      </c>
      <c r="D25" s="6">
        <v>12500</v>
      </c>
      <c r="E25" s="6">
        <v>0</v>
      </c>
      <c r="F25" s="6">
        <f>D25+E25</f>
        <v>12500</v>
      </c>
      <c r="G25" s="5" t="s">
        <v>3</v>
      </c>
      <c r="H25" s="5" t="s">
        <v>3</v>
      </c>
    </row>
    <row r="26" spans="1:8" x14ac:dyDescent="0.25">
      <c r="A26" s="5" t="s">
        <v>3</v>
      </c>
      <c r="B26" s="5" t="s">
        <v>3</v>
      </c>
      <c r="C26" s="5" t="s">
        <v>523</v>
      </c>
      <c r="D26" s="6">
        <v>11000</v>
      </c>
      <c r="E26" s="6">
        <v>0</v>
      </c>
      <c r="F26" s="6">
        <f>D26+E26</f>
        <v>11000</v>
      </c>
      <c r="G26" s="5" t="s">
        <v>3</v>
      </c>
      <c r="H26" s="5" t="s">
        <v>3</v>
      </c>
    </row>
    <row r="27" spans="1:8" x14ac:dyDescent="0.25">
      <c r="A27" s="5" t="s">
        <v>3</v>
      </c>
      <c r="B27" s="5" t="s">
        <v>3</v>
      </c>
      <c r="C27" s="5" t="s">
        <v>528</v>
      </c>
      <c r="D27" s="6">
        <v>10800</v>
      </c>
      <c r="E27" s="6">
        <v>0</v>
      </c>
      <c r="F27" s="6">
        <f>D27+E27</f>
        <v>10800</v>
      </c>
      <c r="G27" s="5" t="s">
        <v>3</v>
      </c>
      <c r="H27" s="5" t="s">
        <v>3</v>
      </c>
    </row>
    <row r="28" spans="1:8" x14ac:dyDescent="0.25">
      <c r="A28" s="5" t="s">
        <v>3</v>
      </c>
      <c r="B28" s="5" t="s">
        <v>3</v>
      </c>
      <c r="C28" s="5" t="s">
        <v>916</v>
      </c>
      <c r="D28" s="6">
        <v>10000</v>
      </c>
      <c r="E28" s="6">
        <v>0</v>
      </c>
      <c r="F28" s="6">
        <f>D28+E28</f>
        <v>10000</v>
      </c>
      <c r="G28" s="5" t="s">
        <v>3</v>
      </c>
      <c r="H28" s="5" t="s">
        <v>3</v>
      </c>
    </row>
    <row r="29" spans="1:8" x14ac:dyDescent="0.25">
      <c r="A29" s="5" t="s">
        <v>3</v>
      </c>
      <c r="B29" s="5" t="s">
        <v>3</v>
      </c>
      <c r="C29" s="5" t="s">
        <v>834</v>
      </c>
      <c r="D29" s="6">
        <v>10000</v>
      </c>
      <c r="E29" s="6">
        <v>0</v>
      </c>
      <c r="F29" s="6">
        <f>D29+E29</f>
        <v>10000</v>
      </c>
      <c r="G29" s="5" t="s">
        <v>3</v>
      </c>
      <c r="H29" s="5" t="s">
        <v>3</v>
      </c>
    </row>
    <row r="30" spans="1:8" x14ac:dyDescent="0.25">
      <c r="A30" s="5" t="s">
        <v>3</v>
      </c>
      <c r="B30" s="5" t="s">
        <v>3</v>
      </c>
      <c r="C30" s="5" t="s">
        <v>285</v>
      </c>
      <c r="D30" s="6">
        <v>9032.26</v>
      </c>
      <c r="E30" s="6">
        <v>0</v>
      </c>
      <c r="F30" s="6">
        <f>D30+E30</f>
        <v>9032.26</v>
      </c>
      <c r="G30" s="5" t="s">
        <v>3</v>
      </c>
      <c r="H30" s="5" t="s">
        <v>3</v>
      </c>
    </row>
    <row r="31" spans="1:8" x14ac:dyDescent="0.25">
      <c r="A31" s="5" t="s">
        <v>3</v>
      </c>
      <c r="B31" s="5" t="s">
        <v>3</v>
      </c>
      <c r="C31" s="5" t="s">
        <v>522</v>
      </c>
      <c r="D31" s="6">
        <v>8064.22</v>
      </c>
      <c r="E31" s="6">
        <v>0</v>
      </c>
      <c r="F31" s="6">
        <f>D31+E31</f>
        <v>8064.22</v>
      </c>
      <c r="G31" s="5" t="s">
        <v>3</v>
      </c>
      <c r="H31" s="5" t="s">
        <v>3</v>
      </c>
    </row>
    <row r="32" spans="1:8" x14ac:dyDescent="0.25">
      <c r="A32" s="5" t="s">
        <v>3</v>
      </c>
      <c r="B32" s="5" t="s">
        <v>3</v>
      </c>
      <c r="C32" s="5" t="s">
        <v>539</v>
      </c>
      <c r="D32" s="6">
        <v>7500</v>
      </c>
      <c r="E32" s="6">
        <v>0</v>
      </c>
      <c r="F32" s="6">
        <f>D32+E32</f>
        <v>7500</v>
      </c>
      <c r="G32" s="5" t="s">
        <v>3</v>
      </c>
      <c r="H32" s="5" t="s">
        <v>3</v>
      </c>
    </row>
    <row r="33" spans="1:8" x14ac:dyDescent="0.25">
      <c r="A33" s="5" t="s">
        <v>3</v>
      </c>
      <c r="B33" s="5" t="s">
        <v>3</v>
      </c>
      <c r="C33" s="5" t="s">
        <v>140</v>
      </c>
      <c r="D33" s="6">
        <v>7307</v>
      </c>
      <c r="E33" s="6">
        <v>0</v>
      </c>
      <c r="F33" s="6">
        <f>D33+E33</f>
        <v>7307</v>
      </c>
      <c r="G33" s="5" t="s">
        <v>3</v>
      </c>
      <c r="H33" s="5" t="s">
        <v>1183</v>
      </c>
    </row>
    <row r="34" spans="1:8" x14ac:dyDescent="0.25">
      <c r="A34" s="5" t="s">
        <v>3</v>
      </c>
      <c r="B34" s="5" t="s">
        <v>3</v>
      </c>
      <c r="C34" s="5" t="s">
        <v>520</v>
      </c>
      <c r="D34" s="6">
        <v>7200.2</v>
      </c>
      <c r="E34" s="6">
        <v>0</v>
      </c>
      <c r="F34" s="6">
        <f>D34+E34</f>
        <v>7200.2</v>
      </c>
      <c r="G34" s="5" t="s">
        <v>3</v>
      </c>
      <c r="H34" s="5" t="s">
        <v>3</v>
      </c>
    </row>
    <row r="35" spans="1:8" x14ac:dyDescent="0.25">
      <c r="A35" s="5" t="s">
        <v>3</v>
      </c>
      <c r="B35" s="5" t="s">
        <v>3</v>
      </c>
      <c r="C35" s="5" t="s">
        <v>535</v>
      </c>
      <c r="D35" s="6">
        <v>4413.95</v>
      </c>
      <c r="E35" s="6">
        <v>0</v>
      </c>
      <c r="F35" s="6">
        <f>D35+E35</f>
        <v>4413.95</v>
      </c>
      <c r="G35" s="5" t="s">
        <v>3</v>
      </c>
      <c r="H35" s="5" t="s">
        <v>3</v>
      </c>
    </row>
    <row r="36" spans="1:8" x14ac:dyDescent="0.25">
      <c r="A36" s="5" t="s">
        <v>3</v>
      </c>
      <c r="B36" s="5" t="s">
        <v>3</v>
      </c>
      <c r="C36" s="5" t="s">
        <v>537</v>
      </c>
      <c r="D36" s="6">
        <v>4000</v>
      </c>
      <c r="E36" s="6">
        <v>0</v>
      </c>
      <c r="F36" s="6">
        <f>D36+E36</f>
        <v>4000</v>
      </c>
      <c r="G36" s="5" t="s">
        <v>3</v>
      </c>
      <c r="H36" s="5" t="s">
        <v>3</v>
      </c>
    </row>
    <row r="37" spans="1:8" x14ac:dyDescent="0.25">
      <c r="A37" s="5" t="s">
        <v>3</v>
      </c>
      <c r="B37" s="5" t="s">
        <v>3</v>
      </c>
      <c r="C37" s="5" t="s">
        <v>735</v>
      </c>
      <c r="D37" s="6">
        <v>3000</v>
      </c>
      <c r="E37" s="6">
        <v>0</v>
      </c>
      <c r="F37" s="6">
        <f>D37+E37</f>
        <v>3000</v>
      </c>
      <c r="G37" s="5" t="s">
        <v>3</v>
      </c>
      <c r="H37" s="5" t="s">
        <v>3</v>
      </c>
    </row>
    <row r="38" spans="1:8" x14ac:dyDescent="0.25">
      <c r="A38" s="5" t="s">
        <v>3</v>
      </c>
      <c r="B38" s="5" t="s">
        <v>3</v>
      </c>
      <c r="C38" s="5" t="s">
        <v>298</v>
      </c>
      <c r="D38" s="6">
        <v>2130</v>
      </c>
      <c r="E38" s="6">
        <v>0</v>
      </c>
      <c r="F38" s="6">
        <f>D38+E38</f>
        <v>2130</v>
      </c>
      <c r="G38" s="5" t="s">
        <v>3</v>
      </c>
      <c r="H38" s="5" t="s">
        <v>3</v>
      </c>
    </row>
    <row r="39" spans="1:8" x14ac:dyDescent="0.25">
      <c r="A39" s="5" t="s">
        <v>3</v>
      </c>
      <c r="B39" s="5" t="s">
        <v>3</v>
      </c>
      <c r="C39" s="5" t="s">
        <v>1184</v>
      </c>
      <c r="D39" s="6">
        <v>-1550</v>
      </c>
      <c r="E39" s="6">
        <v>0</v>
      </c>
      <c r="F39" s="6">
        <f>D39+E39</f>
        <v>-1550</v>
      </c>
      <c r="G39" s="5" t="s">
        <v>3</v>
      </c>
      <c r="H39" s="5" t="s">
        <v>1185</v>
      </c>
    </row>
    <row r="40" spans="1:8" x14ac:dyDescent="0.25">
      <c r="A40" s="5" t="s">
        <v>3</v>
      </c>
      <c r="B40" s="5" t="s">
        <v>3</v>
      </c>
      <c r="C40" s="5" t="s">
        <v>1186</v>
      </c>
      <c r="D40" s="6">
        <v>1129.03</v>
      </c>
      <c r="E40" s="6">
        <v>0</v>
      </c>
      <c r="F40" s="6">
        <f>D40+E40</f>
        <v>1129.03</v>
      </c>
      <c r="G40" s="5" t="s">
        <v>3</v>
      </c>
      <c r="H40" s="5" t="s">
        <v>3</v>
      </c>
    </row>
    <row r="41" spans="1:8" x14ac:dyDescent="0.25">
      <c r="A41" s="24" t="s">
        <v>364</v>
      </c>
      <c r="B41" s="24" t="s">
        <v>365</v>
      </c>
      <c r="C41" s="24" t="s">
        <v>499</v>
      </c>
      <c r="D41" s="27">
        <f>SUM(D42:D42)</f>
        <v>24160.94</v>
      </c>
      <c r="E41" s="27">
        <f>SUM(E42:E42)</f>
        <v>59487.01</v>
      </c>
      <c r="F41" s="27">
        <f>SUM(F42:F42)</f>
        <v>83647.95</v>
      </c>
      <c r="G41" s="24" t="s">
        <v>3</v>
      </c>
      <c r="H41" s="24" t="s">
        <v>3</v>
      </c>
    </row>
    <row r="42" spans="1:8" x14ac:dyDescent="0.25">
      <c r="A42" s="5" t="s">
        <v>3</v>
      </c>
      <c r="B42" s="5" t="s">
        <v>3</v>
      </c>
      <c r="C42" s="5" t="s">
        <v>103</v>
      </c>
      <c r="D42" s="6">
        <v>24160.94</v>
      </c>
      <c r="E42" s="10">
        <v>59487.01</v>
      </c>
      <c r="F42" s="6">
        <f>D42+E42</f>
        <v>83647.95</v>
      </c>
      <c r="G42" s="11" t="s">
        <v>1187</v>
      </c>
      <c r="H42" s="5" t="s">
        <v>3</v>
      </c>
    </row>
    <row r="43" spans="1:8" x14ac:dyDescent="0.25">
      <c r="A43" s="24" t="s">
        <v>366</v>
      </c>
      <c r="B43" s="24" t="s">
        <v>367</v>
      </c>
      <c r="C43" s="24" t="s">
        <v>499</v>
      </c>
      <c r="D43" s="27">
        <f>SUM(D44:D49)</f>
        <v>239942.19</v>
      </c>
      <c r="E43" s="27">
        <f>SUM(E44:E49)</f>
        <v>9412.35</v>
      </c>
      <c r="F43" s="27">
        <f>SUM(F44:F49)</f>
        <v>249354.54</v>
      </c>
      <c r="G43" s="24" t="s">
        <v>3</v>
      </c>
      <c r="H43" s="24" t="s">
        <v>3</v>
      </c>
    </row>
    <row r="44" spans="1:8" x14ac:dyDescent="0.25">
      <c r="A44" s="5" t="s">
        <v>3</v>
      </c>
      <c r="B44" s="5" t="s">
        <v>3</v>
      </c>
      <c r="C44" s="5" t="s">
        <v>268</v>
      </c>
      <c r="D44" s="6">
        <v>0</v>
      </c>
      <c r="E44" s="29">
        <v>115492.22</v>
      </c>
      <c r="F44" s="6">
        <f>D44+E44</f>
        <v>115492.22</v>
      </c>
      <c r="G44" s="23" t="s">
        <v>1188</v>
      </c>
      <c r="H44" s="5" t="s">
        <v>3</v>
      </c>
    </row>
    <row r="45" spans="1:8" x14ac:dyDescent="0.25">
      <c r="A45" s="5" t="s">
        <v>3</v>
      </c>
      <c r="B45" s="5" t="s">
        <v>3</v>
      </c>
      <c r="C45" s="5" t="s">
        <v>81</v>
      </c>
      <c r="D45" s="6">
        <v>106079.87</v>
      </c>
      <c r="E45" s="29">
        <v>-106079.87</v>
      </c>
      <c r="F45" s="6">
        <f>D45+E45</f>
        <v>0</v>
      </c>
      <c r="G45" s="23" t="s">
        <v>1189</v>
      </c>
      <c r="H45" s="5" t="s">
        <v>3</v>
      </c>
    </row>
    <row r="46" spans="1:8" x14ac:dyDescent="0.25">
      <c r="A46" s="5" t="s">
        <v>3</v>
      </c>
      <c r="B46" s="5" t="s">
        <v>3</v>
      </c>
      <c r="C46" s="5" t="s">
        <v>302</v>
      </c>
      <c r="D46" s="6">
        <v>124376.97</v>
      </c>
      <c r="E46" s="6">
        <v>0</v>
      </c>
      <c r="F46" s="6">
        <f>D46+E46</f>
        <v>124376.97</v>
      </c>
      <c r="G46" s="5" t="s">
        <v>3</v>
      </c>
      <c r="H46" s="5" t="s">
        <v>3</v>
      </c>
    </row>
    <row r="47" spans="1:8" x14ac:dyDescent="0.25">
      <c r="A47" s="5" t="s">
        <v>3</v>
      </c>
      <c r="B47" s="5" t="s">
        <v>3</v>
      </c>
      <c r="C47" s="5" t="s">
        <v>543</v>
      </c>
      <c r="D47" s="6">
        <v>4707.83</v>
      </c>
      <c r="E47" s="6">
        <v>0</v>
      </c>
      <c r="F47" s="6">
        <f>D47+E47</f>
        <v>4707.83</v>
      </c>
      <c r="G47" s="5" t="s">
        <v>3</v>
      </c>
      <c r="H47" s="5" t="s">
        <v>3</v>
      </c>
    </row>
    <row r="48" spans="1:8" x14ac:dyDescent="0.25">
      <c r="A48" s="5" t="s">
        <v>3</v>
      </c>
      <c r="B48" s="5" t="s">
        <v>3</v>
      </c>
      <c r="C48" s="5" t="s">
        <v>1029</v>
      </c>
      <c r="D48" s="6">
        <v>2777.52</v>
      </c>
      <c r="E48" s="6">
        <v>0</v>
      </c>
      <c r="F48" s="6">
        <f>D48+E48</f>
        <v>2777.52</v>
      </c>
      <c r="G48" s="5" t="s">
        <v>3</v>
      </c>
      <c r="H48" s="5" t="s">
        <v>3</v>
      </c>
    </row>
    <row r="49" spans="1:8" x14ac:dyDescent="0.25">
      <c r="A49" s="5" t="s">
        <v>3</v>
      </c>
      <c r="B49" s="5" t="s">
        <v>3</v>
      </c>
      <c r="C49" s="5" t="s">
        <v>617</v>
      </c>
      <c r="D49" s="6">
        <v>2000</v>
      </c>
      <c r="E49" s="6">
        <v>0</v>
      </c>
      <c r="F49" s="6">
        <f>D49+E49</f>
        <v>2000</v>
      </c>
      <c r="G49" s="5" t="s">
        <v>3</v>
      </c>
      <c r="H49" s="5" t="s">
        <v>3</v>
      </c>
    </row>
    <row r="50" spans="1:8" x14ac:dyDescent="0.25">
      <c r="A50" s="24" t="s">
        <v>368</v>
      </c>
      <c r="B50" s="24" t="s">
        <v>369</v>
      </c>
      <c r="C50" s="24" t="s">
        <v>499</v>
      </c>
      <c r="D50" s="27">
        <f>SUM(D51:D71)</f>
        <v>187488.58</v>
      </c>
      <c r="E50" s="27">
        <f>SUM(E51:E71)</f>
        <v>-4782.25</v>
      </c>
      <c r="F50" s="27">
        <f>SUM(F51:F71)</f>
        <v>182706.33</v>
      </c>
      <c r="G50" s="24" t="s">
        <v>3</v>
      </c>
      <c r="H50" s="24" t="s">
        <v>3</v>
      </c>
    </row>
    <row r="51" spans="1:8" x14ac:dyDescent="0.25">
      <c r="A51" s="5" t="s">
        <v>3</v>
      </c>
      <c r="B51" s="5" t="s">
        <v>3</v>
      </c>
      <c r="C51" s="5" t="s">
        <v>187</v>
      </c>
      <c r="D51" s="6">
        <v>24508.03</v>
      </c>
      <c r="E51" s="29">
        <v>-4782.25</v>
      </c>
      <c r="F51" s="6">
        <f>D51+E51</f>
        <v>19725.78</v>
      </c>
      <c r="G51" s="23" t="s">
        <v>1190</v>
      </c>
      <c r="H51" s="5" t="s">
        <v>3</v>
      </c>
    </row>
    <row r="52" spans="1:8" x14ac:dyDescent="0.25">
      <c r="A52" s="5" t="s">
        <v>3</v>
      </c>
      <c r="B52" s="5" t="s">
        <v>3</v>
      </c>
      <c r="C52" s="5" t="s">
        <v>1191</v>
      </c>
      <c r="D52" s="6">
        <v>74800</v>
      </c>
      <c r="E52" s="6">
        <v>0</v>
      </c>
      <c r="F52" s="6">
        <f>D52+E52</f>
        <v>74800</v>
      </c>
      <c r="G52" s="5" t="s">
        <v>3</v>
      </c>
      <c r="H52" s="5" t="s">
        <v>3</v>
      </c>
    </row>
    <row r="53" spans="1:8" x14ac:dyDescent="0.25">
      <c r="A53" s="5" t="s">
        <v>3</v>
      </c>
      <c r="B53" s="5" t="s">
        <v>3</v>
      </c>
      <c r="C53" s="5" t="s">
        <v>559</v>
      </c>
      <c r="D53" s="6">
        <v>46992</v>
      </c>
      <c r="E53" s="6">
        <v>0</v>
      </c>
      <c r="F53" s="6">
        <f>D53+E53</f>
        <v>46992</v>
      </c>
      <c r="G53" s="5" t="s">
        <v>3</v>
      </c>
      <c r="H53" s="5" t="s">
        <v>3</v>
      </c>
    </row>
    <row r="54" spans="1:8" x14ac:dyDescent="0.25">
      <c r="A54" s="5" t="s">
        <v>3</v>
      </c>
      <c r="B54" s="5" t="s">
        <v>3</v>
      </c>
      <c r="C54" s="5" t="s">
        <v>550</v>
      </c>
      <c r="D54" s="6">
        <v>10000</v>
      </c>
      <c r="E54" s="6">
        <v>0</v>
      </c>
      <c r="F54" s="6">
        <f>D54+E54</f>
        <v>10000</v>
      </c>
      <c r="G54" s="5" t="s">
        <v>3</v>
      </c>
      <c r="H54" s="5" t="s">
        <v>3</v>
      </c>
    </row>
    <row r="55" spans="1:8" x14ac:dyDescent="0.25">
      <c r="A55" s="5" t="s">
        <v>3</v>
      </c>
      <c r="B55" s="5" t="s">
        <v>3</v>
      </c>
      <c r="C55" s="5" t="s">
        <v>1111</v>
      </c>
      <c r="D55" s="6">
        <v>8599.23</v>
      </c>
      <c r="E55" s="6">
        <v>0</v>
      </c>
      <c r="F55" s="6">
        <f>D55+E55</f>
        <v>8599.23</v>
      </c>
      <c r="G55" s="5" t="s">
        <v>3</v>
      </c>
      <c r="H55" s="5" t="s">
        <v>3</v>
      </c>
    </row>
    <row r="56" spans="1:8" x14ac:dyDescent="0.25">
      <c r="A56" s="5" t="s">
        <v>3</v>
      </c>
      <c r="B56" s="5" t="s">
        <v>3</v>
      </c>
      <c r="C56" s="5" t="s">
        <v>1192</v>
      </c>
      <c r="D56" s="6">
        <v>4612.93</v>
      </c>
      <c r="E56" s="6">
        <v>0</v>
      </c>
      <c r="F56" s="6">
        <f>D56+E56</f>
        <v>4612.93</v>
      </c>
      <c r="G56" s="5" t="s">
        <v>3</v>
      </c>
      <c r="H56" s="5" t="s">
        <v>3</v>
      </c>
    </row>
    <row r="57" spans="1:8" x14ac:dyDescent="0.25">
      <c r="A57" s="5" t="s">
        <v>3</v>
      </c>
      <c r="B57" s="5" t="s">
        <v>3</v>
      </c>
      <c r="C57" s="5" t="s">
        <v>555</v>
      </c>
      <c r="D57" s="6">
        <v>3803.71</v>
      </c>
      <c r="E57" s="6">
        <v>0</v>
      </c>
      <c r="F57" s="6">
        <f>D57+E57</f>
        <v>3803.71</v>
      </c>
      <c r="G57" s="5" t="s">
        <v>3</v>
      </c>
      <c r="H57" s="5" t="s">
        <v>3</v>
      </c>
    </row>
    <row r="58" spans="1:8" x14ac:dyDescent="0.25">
      <c r="A58" s="5" t="s">
        <v>3</v>
      </c>
      <c r="B58" s="5" t="s">
        <v>3</v>
      </c>
      <c r="C58" s="5" t="s">
        <v>551</v>
      </c>
      <c r="D58" s="6">
        <v>3261.1</v>
      </c>
      <c r="E58" s="6">
        <v>0</v>
      </c>
      <c r="F58" s="6">
        <f>D58+E58</f>
        <v>3261.1</v>
      </c>
      <c r="G58" s="5" t="s">
        <v>3</v>
      </c>
      <c r="H58" s="5" t="s">
        <v>3</v>
      </c>
    </row>
    <row r="59" spans="1:8" x14ac:dyDescent="0.25">
      <c r="A59" s="5" t="s">
        <v>3</v>
      </c>
      <c r="B59" s="5" t="s">
        <v>3</v>
      </c>
      <c r="C59" s="5" t="s">
        <v>556</v>
      </c>
      <c r="D59" s="6">
        <v>2965.16</v>
      </c>
      <c r="E59" s="6">
        <v>0</v>
      </c>
      <c r="F59" s="6">
        <f>D59+E59</f>
        <v>2965.16</v>
      </c>
      <c r="G59" s="5" t="s">
        <v>3</v>
      </c>
      <c r="H59" s="5" t="s">
        <v>3</v>
      </c>
    </row>
    <row r="60" spans="1:8" x14ac:dyDescent="0.25">
      <c r="A60" s="5" t="s">
        <v>3</v>
      </c>
      <c r="B60" s="5" t="s">
        <v>3</v>
      </c>
      <c r="C60" s="5" t="s">
        <v>1193</v>
      </c>
      <c r="D60" s="6">
        <v>2740.98</v>
      </c>
      <c r="E60" s="6">
        <v>0</v>
      </c>
      <c r="F60" s="6">
        <f>D60+E60</f>
        <v>2740.98</v>
      </c>
      <c r="G60" s="5" t="s">
        <v>3</v>
      </c>
      <c r="H60" s="5" t="s">
        <v>3</v>
      </c>
    </row>
    <row r="61" spans="1:8" x14ac:dyDescent="0.25">
      <c r="A61" s="5" t="s">
        <v>3</v>
      </c>
      <c r="B61" s="5" t="s">
        <v>3</v>
      </c>
      <c r="C61" s="5" t="s">
        <v>558</v>
      </c>
      <c r="D61" s="6">
        <v>1474</v>
      </c>
      <c r="E61" s="6">
        <v>0</v>
      </c>
      <c r="F61" s="6">
        <f>D61+E61</f>
        <v>1474</v>
      </c>
      <c r="G61" s="5" t="s">
        <v>3</v>
      </c>
      <c r="H61" s="5" t="s">
        <v>3</v>
      </c>
    </row>
    <row r="62" spans="1:8" x14ac:dyDescent="0.25">
      <c r="A62" s="5" t="s">
        <v>3</v>
      </c>
      <c r="B62" s="5" t="s">
        <v>3</v>
      </c>
      <c r="C62" s="5" t="s">
        <v>1031</v>
      </c>
      <c r="D62" s="6">
        <v>1136.78</v>
      </c>
      <c r="E62" s="6">
        <v>0</v>
      </c>
      <c r="F62" s="6">
        <f>D62+E62</f>
        <v>1136.78</v>
      </c>
      <c r="G62" s="5" t="s">
        <v>3</v>
      </c>
      <c r="H62" s="5" t="s">
        <v>3</v>
      </c>
    </row>
    <row r="63" spans="1:8" x14ac:dyDescent="0.25">
      <c r="A63" s="5" t="s">
        <v>3</v>
      </c>
      <c r="B63" s="5" t="s">
        <v>3</v>
      </c>
      <c r="C63" s="5" t="s">
        <v>561</v>
      </c>
      <c r="D63" s="6">
        <v>789.17</v>
      </c>
      <c r="E63" s="6">
        <v>0</v>
      </c>
      <c r="F63" s="6">
        <f>D63+E63</f>
        <v>789.17</v>
      </c>
      <c r="G63" s="5" t="s">
        <v>3</v>
      </c>
      <c r="H63" s="5" t="s">
        <v>3</v>
      </c>
    </row>
    <row r="64" spans="1:8" x14ac:dyDescent="0.25">
      <c r="A64" s="5" t="s">
        <v>3</v>
      </c>
      <c r="B64" s="5" t="s">
        <v>3</v>
      </c>
      <c r="C64" s="5" t="s">
        <v>1194</v>
      </c>
      <c r="D64" s="6">
        <v>575.62</v>
      </c>
      <c r="E64" s="6">
        <v>0</v>
      </c>
      <c r="F64" s="6">
        <f>D64+E64</f>
        <v>575.62</v>
      </c>
      <c r="G64" s="5" t="s">
        <v>3</v>
      </c>
      <c r="H64" s="5" t="s">
        <v>3</v>
      </c>
    </row>
    <row r="65" spans="1:8" x14ac:dyDescent="0.25">
      <c r="A65" s="5" t="s">
        <v>3</v>
      </c>
      <c r="B65" s="5" t="s">
        <v>3</v>
      </c>
      <c r="C65" s="5" t="s">
        <v>797</v>
      </c>
      <c r="D65" s="6">
        <v>312.75</v>
      </c>
      <c r="E65" s="6">
        <v>0</v>
      </c>
      <c r="F65" s="6">
        <f>D65+E65</f>
        <v>312.75</v>
      </c>
      <c r="G65" s="5" t="s">
        <v>3</v>
      </c>
      <c r="H65" s="5" t="s">
        <v>3</v>
      </c>
    </row>
    <row r="66" spans="1:8" x14ac:dyDescent="0.25">
      <c r="A66" s="5" t="s">
        <v>3</v>
      </c>
      <c r="B66" s="5" t="s">
        <v>3</v>
      </c>
      <c r="C66" s="5" t="s">
        <v>799</v>
      </c>
      <c r="D66" s="6">
        <v>279.98</v>
      </c>
      <c r="E66" s="6">
        <v>0</v>
      </c>
      <c r="F66" s="6">
        <f>D66+E66</f>
        <v>279.98</v>
      </c>
      <c r="G66" s="5" t="s">
        <v>3</v>
      </c>
      <c r="H66" s="5" t="s">
        <v>3</v>
      </c>
    </row>
    <row r="67" spans="1:8" x14ac:dyDescent="0.25">
      <c r="A67" s="5" t="s">
        <v>3</v>
      </c>
      <c r="B67" s="5" t="s">
        <v>3</v>
      </c>
      <c r="C67" s="5" t="s">
        <v>800</v>
      </c>
      <c r="D67" s="6">
        <v>205.33</v>
      </c>
      <c r="E67" s="6">
        <v>0</v>
      </c>
      <c r="F67" s="6">
        <f>D67+E67</f>
        <v>205.33</v>
      </c>
      <c r="G67" s="5" t="s">
        <v>3</v>
      </c>
      <c r="H67" s="5" t="s">
        <v>3</v>
      </c>
    </row>
    <row r="68" spans="1:8" x14ac:dyDescent="0.25">
      <c r="A68" s="5" t="s">
        <v>3</v>
      </c>
      <c r="B68" s="5" t="s">
        <v>3</v>
      </c>
      <c r="C68" s="5" t="s">
        <v>565</v>
      </c>
      <c r="D68" s="6">
        <v>126.71</v>
      </c>
      <c r="E68" s="6">
        <v>0</v>
      </c>
      <c r="F68" s="6">
        <f>D68+E68</f>
        <v>126.71</v>
      </c>
      <c r="G68" s="5" t="s">
        <v>3</v>
      </c>
      <c r="H68" s="5" t="s">
        <v>3</v>
      </c>
    </row>
    <row r="69" spans="1:8" x14ac:dyDescent="0.25">
      <c r="A69" s="5" t="s">
        <v>3</v>
      </c>
      <c r="B69" s="5" t="s">
        <v>3</v>
      </c>
      <c r="C69" s="5" t="s">
        <v>1195</v>
      </c>
      <c r="D69" s="6">
        <v>115.33</v>
      </c>
      <c r="E69" s="6">
        <v>0</v>
      </c>
      <c r="F69" s="6">
        <f>D69+E69</f>
        <v>115.33</v>
      </c>
      <c r="G69" s="5" t="s">
        <v>3</v>
      </c>
      <c r="H69" s="5" t="s">
        <v>3</v>
      </c>
    </row>
    <row r="70" spans="1:8" x14ac:dyDescent="0.25">
      <c r="A70" s="5" t="s">
        <v>3</v>
      </c>
      <c r="B70" s="5" t="s">
        <v>3</v>
      </c>
      <c r="C70" s="5" t="s">
        <v>603</v>
      </c>
      <c r="D70" s="6">
        <v>102.77</v>
      </c>
      <c r="E70" s="6">
        <v>0</v>
      </c>
      <c r="F70" s="6">
        <f>D70+E70</f>
        <v>102.77</v>
      </c>
      <c r="G70" s="5" t="s">
        <v>3</v>
      </c>
      <c r="H70" s="5" t="s">
        <v>3</v>
      </c>
    </row>
    <row r="71" spans="1:8" x14ac:dyDescent="0.25">
      <c r="A71" s="5" t="s">
        <v>3</v>
      </c>
      <c r="B71" s="5" t="s">
        <v>3</v>
      </c>
      <c r="C71" s="5" t="s">
        <v>570</v>
      </c>
      <c r="D71" s="6">
        <v>87</v>
      </c>
      <c r="E71" s="6">
        <v>0</v>
      </c>
      <c r="F71" s="6">
        <f>D71+E71</f>
        <v>87</v>
      </c>
      <c r="G71" s="5" t="s">
        <v>3</v>
      </c>
      <c r="H71" s="5" t="s">
        <v>3</v>
      </c>
    </row>
    <row r="72" spans="1:8" x14ac:dyDescent="0.25">
      <c r="A72" s="24" t="s">
        <v>370</v>
      </c>
      <c r="B72" s="24" t="s">
        <v>371</v>
      </c>
      <c r="C72" s="24" t="s">
        <v>499</v>
      </c>
      <c r="D72" s="27">
        <f>SUM(D73:D85)</f>
        <v>53533.05</v>
      </c>
      <c r="E72" s="27">
        <f>SUM(E73:E85)</f>
        <v>375211.11</v>
      </c>
      <c r="F72" s="27">
        <f>SUM(F73:F85)</f>
        <v>428744.16</v>
      </c>
      <c r="G72" s="24" t="s">
        <v>3</v>
      </c>
      <c r="H72" s="24" t="s">
        <v>3</v>
      </c>
    </row>
    <row r="73" spans="1:8" x14ac:dyDescent="0.25">
      <c r="A73" s="5" t="s">
        <v>3</v>
      </c>
      <c r="B73" s="5" t="s">
        <v>3</v>
      </c>
      <c r="C73" s="5" t="s">
        <v>265</v>
      </c>
      <c r="D73" s="6">
        <v>2301.15</v>
      </c>
      <c r="E73" s="29">
        <v>176091.75</v>
      </c>
      <c r="F73" s="6">
        <f>D73+E73</f>
        <v>178392.9</v>
      </c>
      <c r="G73" s="23" t="s">
        <v>1196</v>
      </c>
      <c r="H73" s="5" t="s">
        <v>3</v>
      </c>
    </row>
    <row r="74" spans="1:8" x14ac:dyDescent="0.25">
      <c r="A74" s="5" t="s">
        <v>3</v>
      </c>
      <c r="B74" s="5" t="s">
        <v>3</v>
      </c>
      <c r="C74" s="5" t="s">
        <v>270</v>
      </c>
      <c r="D74" s="6">
        <v>0</v>
      </c>
      <c r="E74" s="29">
        <v>102290</v>
      </c>
      <c r="F74" s="6">
        <f>D74+E74</f>
        <v>102290</v>
      </c>
      <c r="G74" s="23" t="s">
        <v>1197</v>
      </c>
      <c r="H74" s="5" t="s">
        <v>3</v>
      </c>
    </row>
    <row r="75" spans="1:8" x14ac:dyDescent="0.25">
      <c r="A75" s="5" t="s">
        <v>3</v>
      </c>
      <c r="B75" s="5" t="s">
        <v>3</v>
      </c>
      <c r="C75" s="5" t="s">
        <v>121</v>
      </c>
      <c r="D75" s="6">
        <v>-0.25</v>
      </c>
      <c r="E75" s="29">
        <v>38715.35</v>
      </c>
      <c r="F75" s="6">
        <f>D75+E75</f>
        <v>38715.1</v>
      </c>
      <c r="G75" s="23" t="s">
        <v>1198</v>
      </c>
      <c r="H75" s="5" t="s">
        <v>3</v>
      </c>
    </row>
    <row r="76" spans="1:8" x14ac:dyDescent="0.25">
      <c r="A76" s="5" t="s">
        <v>3</v>
      </c>
      <c r="B76" s="5" t="s">
        <v>3</v>
      </c>
      <c r="C76" s="5" t="s">
        <v>180</v>
      </c>
      <c r="D76" s="6">
        <v>635.46</v>
      </c>
      <c r="E76" s="29">
        <v>38314.6</v>
      </c>
      <c r="F76" s="6">
        <f>D76+E76</f>
        <v>38950.06</v>
      </c>
      <c r="G76" s="23" t="s">
        <v>1199</v>
      </c>
      <c r="H76" s="5" t="s">
        <v>3</v>
      </c>
    </row>
    <row r="77" spans="1:8" x14ac:dyDescent="0.25">
      <c r="A77" s="5" t="s">
        <v>3</v>
      </c>
      <c r="B77" s="5" t="s">
        <v>3</v>
      </c>
      <c r="C77" s="5" t="s">
        <v>131</v>
      </c>
      <c r="D77" s="6">
        <v>-0.36</v>
      </c>
      <c r="E77" s="29">
        <v>19799.41</v>
      </c>
      <c r="F77" s="6">
        <f>D77+E77</f>
        <v>19799.05</v>
      </c>
      <c r="G77" s="23" t="s">
        <v>1200</v>
      </c>
      <c r="H77" s="5" t="s">
        <v>3</v>
      </c>
    </row>
    <row r="78" spans="1:8" x14ac:dyDescent="0.25">
      <c r="A78" s="5" t="s">
        <v>3</v>
      </c>
      <c r="B78" s="5" t="s">
        <v>3</v>
      </c>
      <c r="C78" s="5" t="s">
        <v>306</v>
      </c>
      <c r="D78" s="6">
        <v>26083.73</v>
      </c>
      <c r="E78" s="6">
        <v>0</v>
      </c>
      <c r="F78" s="6">
        <f>D78+E78</f>
        <v>26083.73</v>
      </c>
      <c r="G78" s="5" t="s">
        <v>3</v>
      </c>
      <c r="H78" s="5" t="s">
        <v>3</v>
      </c>
    </row>
    <row r="79" spans="1:8" x14ac:dyDescent="0.25">
      <c r="A79" s="5" t="s">
        <v>3</v>
      </c>
      <c r="B79" s="5" t="s">
        <v>3</v>
      </c>
      <c r="C79" s="5" t="s">
        <v>199</v>
      </c>
      <c r="D79" s="6">
        <v>12564.73</v>
      </c>
      <c r="E79" s="6">
        <v>0</v>
      </c>
      <c r="F79" s="6">
        <f>D79+E79</f>
        <v>12564.73</v>
      </c>
      <c r="G79" s="5" t="s">
        <v>3</v>
      </c>
      <c r="H79" s="5" t="s">
        <v>3</v>
      </c>
    </row>
    <row r="80" spans="1:8" x14ac:dyDescent="0.25">
      <c r="A80" s="5" t="s">
        <v>3</v>
      </c>
      <c r="B80" s="5" t="s">
        <v>3</v>
      </c>
      <c r="C80" s="5" t="s">
        <v>790</v>
      </c>
      <c r="D80" s="6">
        <v>6241.71</v>
      </c>
      <c r="E80" s="6">
        <v>0</v>
      </c>
      <c r="F80" s="6">
        <f>D80+E80</f>
        <v>6241.71</v>
      </c>
      <c r="G80" s="5" t="s">
        <v>3</v>
      </c>
      <c r="H80" s="5" t="s">
        <v>3</v>
      </c>
    </row>
    <row r="81" spans="1:8" x14ac:dyDescent="0.25">
      <c r="A81" s="5" t="s">
        <v>3</v>
      </c>
      <c r="B81" s="5" t="s">
        <v>3</v>
      </c>
      <c r="C81" s="5" t="s">
        <v>572</v>
      </c>
      <c r="D81" s="6">
        <v>2908.23</v>
      </c>
      <c r="E81" s="6">
        <v>0</v>
      </c>
      <c r="F81" s="6">
        <f>D81+E81</f>
        <v>2908.23</v>
      </c>
      <c r="G81" s="5" t="s">
        <v>3</v>
      </c>
      <c r="H81" s="5" t="s">
        <v>3</v>
      </c>
    </row>
    <row r="82" spans="1:8" x14ac:dyDescent="0.25">
      <c r="A82" s="5" t="s">
        <v>3</v>
      </c>
      <c r="B82" s="5" t="s">
        <v>3</v>
      </c>
      <c r="C82" s="5" t="s">
        <v>840</v>
      </c>
      <c r="D82" s="6">
        <v>1400</v>
      </c>
      <c r="E82" s="6">
        <v>0</v>
      </c>
      <c r="F82" s="6">
        <f>D82+E82</f>
        <v>1400</v>
      </c>
      <c r="G82" s="5" t="s">
        <v>3</v>
      </c>
      <c r="H82" s="5" t="s">
        <v>3</v>
      </c>
    </row>
    <row r="83" spans="1:8" x14ac:dyDescent="0.25">
      <c r="A83" s="5" t="s">
        <v>3</v>
      </c>
      <c r="B83" s="5" t="s">
        <v>3</v>
      </c>
      <c r="C83" s="5" t="s">
        <v>1201</v>
      </c>
      <c r="D83" s="6">
        <v>1119.95</v>
      </c>
      <c r="E83" s="6">
        <v>0</v>
      </c>
      <c r="F83" s="6">
        <f>D83+E83</f>
        <v>1119.95</v>
      </c>
      <c r="G83" s="5" t="s">
        <v>3</v>
      </c>
      <c r="H83" s="5" t="s">
        <v>3</v>
      </c>
    </row>
    <row r="84" spans="1:8" x14ac:dyDescent="0.25">
      <c r="A84" s="5" t="s">
        <v>3</v>
      </c>
      <c r="B84" s="5" t="s">
        <v>3</v>
      </c>
      <c r="C84" s="5" t="s">
        <v>1202</v>
      </c>
      <c r="D84" s="6">
        <v>284.75</v>
      </c>
      <c r="E84" s="6">
        <v>0</v>
      </c>
      <c r="F84" s="6">
        <f>D84+E84</f>
        <v>284.75</v>
      </c>
      <c r="G84" s="5" t="s">
        <v>3</v>
      </c>
      <c r="H84" s="5" t="s">
        <v>3</v>
      </c>
    </row>
    <row r="85" spans="1:8" x14ac:dyDescent="0.25">
      <c r="A85" s="5" t="s">
        <v>3</v>
      </c>
      <c r="B85" s="5" t="s">
        <v>3</v>
      </c>
      <c r="C85" s="5" t="s">
        <v>1203</v>
      </c>
      <c r="D85" s="6">
        <v>-6.05</v>
      </c>
      <c r="E85" s="6">
        <v>0</v>
      </c>
      <c r="F85" s="6">
        <f>D85+E85</f>
        <v>-6.05</v>
      </c>
      <c r="G85" s="5" t="s">
        <v>3</v>
      </c>
      <c r="H85" s="5" t="s">
        <v>3</v>
      </c>
    </row>
    <row r="86" spans="1:8" x14ac:dyDescent="0.25">
      <c r="A86" s="24" t="s">
        <v>374</v>
      </c>
      <c r="B86" s="24" t="s">
        <v>375</v>
      </c>
      <c r="C86" s="24" t="s">
        <v>499</v>
      </c>
      <c r="D86" s="27">
        <f>SUM(D87:D87)</f>
        <v>1500</v>
      </c>
      <c r="E86" s="27">
        <f>SUM(E87:E87)</f>
        <v>0</v>
      </c>
      <c r="F86" s="27">
        <f>SUM(F87:F87)</f>
        <v>1500</v>
      </c>
      <c r="G86" s="24" t="s">
        <v>3</v>
      </c>
      <c r="H86" s="24" t="s">
        <v>3</v>
      </c>
    </row>
    <row r="87" spans="1:8" x14ac:dyDescent="0.25">
      <c r="A87" s="5" t="s">
        <v>3</v>
      </c>
      <c r="B87" s="5" t="s">
        <v>3</v>
      </c>
      <c r="C87" s="5" t="s">
        <v>1204</v>
      </c>
      <c r="D87" s="6">
        <v>1500</v>
      </c>
      <c r="E87" s="6">
        <v>0</v>
      </c>
      <c r="F87" s="6">
        <f>D87+E87</f>
        <v>1500</v>
      </c>
      <c r="G87" s="5" t="s">
        <v>3</v>
      </c>
      <c r="H87" s="5" t="s">
        <v>3</v>
      </c>
    </row>
    <row r="88" spans="1:8" x14ac:dyDescent="0.25">
      <c r="A88" s="24" t="s">
        <v>376</v>
      </c>
      <c r="B88" s="24" t="s">
        <v>377</v>
      </c>
      <c r="C88" s="24" t="s">
        <v>499</v>
      </c>
      <c r="D88" s="27">
        <f>SUM(D89:D89)</f>
        <v>125</v>
      </c>
      <c r="E88" s="27">
        <f>SUM(E89:E89)</f>
        <v>0</v>
      </c>
      <c r="F88" s="27">
        <f>SUM(F89:F89)</f>
        <v>125</v>
      </c>
      <c r="G88" s="24" t="s">
        <v>3</v>
      </c>
      <c r="H88" s="24" t="s">
        <v>3</v>
      </c>
    </row>
    <row r="89" spans="1:8" x14ac:dyDescent="0.25">
      <c r="A89" s="5" t="s">
        <v>3</v>
      </c>
      <c r="B89" s="5" t="s">
        <v>3</v>
      </c>
      <c r="C89" s="5" t="s">
        <v>1205</v>
      </c>
      <c r="D89" s="6">
        <v>125</v>
      </c>
      <c r="E89" s="6">
        <v>0</v>
      </c>
      <c r="F89" s="6">
        <f>D89+E89</f>
        <v>125</v>
      </c>
      <c r="G89" s="5" t="s">
        <v>3</v>
      </c>
      <c r="H89" s="5" t="s">
        <v>3</v>
      </c>
    </row>
    <row r="90" spans="1:8" x14ac:dyDescent="0.25">
      <c r="A90" s="24" t="s">
        <v>378</v>
      </c>
      <c r="B90" s="24" t="s">
        <v>379</v>
      </c>
      <c r="C90" s="24" t="s">
        <v>499</v>
      </c>
      <c r="D90" s="27">
        <f>SUM(D91:D92)</f>
        <v>1158.74</v>
      </c>
      <c r="E90" s="27">
        <f>SUM(E91:E92)</f>
        <v>0</v>
      </c>
      <c r="F90" s="27">
        <f>SUM(F91:F92)</f>
        <v>1158.74</v>
      </c>
      <c r="G90" s="24" t="s">
        <v>3</v>
      </c>
      <c r="H90" s="24" t="s">
        <v>3</v>
      </c>
    </row>
    <row r="91" spans="1:8" x14ac:dyDescent="0.25">
      <c r="A91" s="5" t="s">
        <v>3</v>
      </c>
      <c r="B91" s="5" t="s">
        <v>3</v>
      </c>
      <c r="C91" s="5" t="s">
        <v>742</v>
      </c>
      <c r="D91" s="6">
        <v>969.74</v>
      </c>
      <c r="E91" s="6">
        <v>0</v>
      </c>
      <c r="F91" s="6">
        <f>D91+E91</f>
        <v>969.74</v>
      </c>
      <c r="G91" s="5" t="s">
        <v>3</v>
      </c>
      <c r="H91" s="5" t="s">
        <v>3</v>
      </c>
    </row>
    <row r="92" spans="1:8" x14ac:dyDescent="0.25">
      <c r="A92" s="5" t="s">
        <v>3</v>
      </c>
      <c r="B92" s="5" t="s">
        <v>3</v>
      </c>
      <c r="C92" s="5" t="s">
        <v>1206</v>
      </c>
      <c r="D92" s="6">
        <v>189</v>
      </c>
      <c r="E92" s="6">
        <v>0</v>
      </c>
      <c r="F92" s="6">
        <f>D92+E92</f>
        <v>189</v>
      </c>
      <c r="G92" s="5" t="s">
        <v>3</v>
      </c>
      <c r="H92" s="5" t="s">
        <v>3</v>
      </c>
    </row>
    <row r="93" spans="1:8" x14ac:dyDescent="0.25">
      <c r="A93" s="24" t="s">
        <v>380</v>
      </c>
      <c r="B93" s="24" t="s">
        <v>381</v>
      </c>
      <c r="C93" s="24" t="s">
        <v>499</v>
      </c>
      <c r="D93" s="27">
        <f>SUM(D94:D99)</f>
        <v>30963.37</v>
      </c>
      <c r="E93" s="27">
        <f>SUM(E94:E99)</f>
        <v>0</v>
      </c>
      <c r="F93" s="27">
        <f>SUM(F94:F99)</f>
        <v>30963.37</v>
      </c>
      <c r="G93" s="24" t="s">
        <v>3</v>
      </c>
      <c r="H93" s="24" t="s">
        <v>3</v>
      </c>
    </row>
    <row r="94" spans="1:8" x14ac:dyDescent="0.25">
      <c r="A94" s="5" t="s">
        <v>3</v>
      </c>
      <c r="B94" s="5" t="s">
        <v>3</v>
      </c>
      <c r="C94" s="5" t="s">
        <v>1207</v>
      </c>
      <c r="D94" s="6">
        <v>45099.98</v>
      </c>
      <c r="E94" s="6">
        <v>0</v>
      </c>
      <c r="F94" s="6">
        <f>D94+E94</f>
        <v>45099.98</v>
      </c>
      <c r="G94" s="5" t="s">
        <v>3</v>
      </c>
      <c r="H94" s="5" t="s">
        <v>3</v>
      </c>
    </row>
    <row r="95" spans="1:8" x14ac:dyDescent="0.25">
      <c r="A95" s="5" t="s">
        <v>3</v>
      </c>
      <c r="B95" s="5" t="s">
        <v>3</v>
      </c>
      <c r="C95" s="5" t="s">
        <v>1208</v>
      </c>
      <c r="D95" s="6">
        <v>-23884.13</v>
      </c>
      <c r="E95" s="6">
        <v>0</v>
      </c>
      <c r="F95" s="6">
        <f>D95+E95</f>
        <v>-23884.13</v>
      </c>
      <c r="G95" s="5" t="s">
        <v>3</v>
      </c>
      <c r="H95" s="5" t="s">
        <v>3</v>
      </c>
    </row>
    <row r="96" spans="1:8" x14ac:dyDescent="0.25">
      <c r="A96" s="5" t="s">
        <v>3</v>
      </c>
      <c r="B96" s="5" t="s">
        <v>3</v>
      </c>
      <c r="C96" s="5" t="s">
        <v>1209</v>
      </c>
      <c r="D96" s="6">
        <v>6833.44</v>
      </c>
      <c r="E96" s="6">
        <v>0</v>
      </c>
      <c r="F96" s="6">
        <f>D96+E96</f>
        <v>6833.44</v>
      </c>
      <c r="G96" s="5" t="s">
        <v>3</v>
      </c>
      <c r="H96" s="5" t="s">
        <v>3</v>
      </c>
    </row>
    <row r="97" spans="1:8" x14ac:dyDescent="0.25">
      <c r="A97" s="5" t="s">
        <v>3</v>
      </c>
      <c r="B97" s="5" t="s">
        <v>3</v>
      </c>
      <c r="C97" s="5" t="s">
        <v>881</v>
      </c>
      <c r="D97" s="6">
        <v>1604.39</v>
      </c>
      <c r="E97" s="6">
        <v>0</v>
      </c>
      <c r="F97" s="6">
        <f>D97+E97</f>
        <v>1604.39</v>
      </c>
      <c r="G97" s="5" t="s">
        <v>3</v>
      </c>
      <c r="H97" s="5" t="s">
        <v>3</v>
      </c>
    </row>
    <row r="98" spans="1:8" x14ac:dyDescent="0.25">
      <c r="A98" s="5" t="s">
        <v>3</v>
      </c>
      <c r="B98" s="5" t="s">
        <v>3</v>
      </c>
      <c r="C98" s="5" t="s">
        <v>763</v>
      </c>
      <c r="D98" s="6">
        <v>1309.7</v>
      </c>
      <c r="E98" s="6">
        <v>0</v>
      </c>
      <c r="F98" s="6">
        <f>D98+E98</f>
        <v>1309.7</v>
      </c>
      <c r="G98" s="5" t="s">
        <v>3</v>
      </c>
      <c r="H98" s="5" t="s">
        <v>3</v>
      </c>
    </row>
    <row r="99" spans="1:8" x14ac:dyDescent="0.25">
      <c r="A99" s="5" t="s">
        <v>3</v>
      </c>
      <c r="B99" s="5" t="s">
        <v>3</v>
      </c>
      <c r="C99" s="5" t="s">
        <v>1203</v>
      </c>
      <c r="D99" s="6">
        <v>-0.01</v>
      </c>
      <c r="E99" s="6">
        <v>0</v>
      </c>
      <c r="F99" s="6">
        <f>D99+E99</f>
        <v>-0.01</v>
      </c>
      <c r="G99" s="5" t="s">
        <v>3</v>
      </c>
      <c r="H99" s="5" t="s">
        <v>3</v>
      </c>
    </row>
    <row r="100" spans="1:8" x14ac:dyDescent="0.25">
      <c r="A100" s="24" t="s">
        <v>382</v>
      </c>
      <c r="B100" s="24" t="s">
        <v>383</v>
      </c>
      <c r="C100" s="24" t="s">
        <v>499</v>
      </c>
      <c r="D100" s="27">
        <f>SUM(D101:D136)</f>
        <v>322496.05</v>
      </c>
      <c r="E100" s="27">
        <f>SUM(E101:E136)</f>
        <v>-171559.53</v>
      </c>
      <c r="F100" s="27">
        <f>SUM(F101:F136)</f>
        <v>150936.52</v>
      </c>
      <c r="G100" s="24" t="s">
        <v>3</v>
      </c>
      <c r="H100" s="24" t="s">
        <v>3</v>
      </c>
    </row>
    <row r="101" spans="1:8" x14ac:dyDescent="0.25">
      <c r="A101" s="5" t="s">
        <v>3</v>
      </c>
      <c r="B101" s="5" t="s">
        <v>3</v>
      </c>
      <c r="C101" s="5" t="s">
        <v>211</v>
      </c>
      <c r="D101" s="6">
        <v>114030.6</v>
      </c>
      <c r="E101" s="28">
        <v>-170081.99</v>
      </c>
      <c r="F101" s="6">
        <f>D101+E101</f>
        <v>-56051.39</v>
      </c>
      <c r="G101" s="22" t="s">
        <v>1210</v>
      </c>
      <c r="H101" s="5" t="s">
        <v>3</v>
      </c>
    </row>
    <row r="102" spans="1:8" x14ac:dyDescent="0.25">
      <c r="A102" s="5" t="s">
        <v>3</v>
      </c>
      <c r="B102" s="5" t="s">
        <v>3</v>
      </c>
      <c r="C102" s="5" t="s">
        <v>190</v>
      </c>
      <c r="D102" s="6">
        <v>4477.1</v>
      </c>
      <c r="E102" s="29">
        <v>-2281.16</v>
      </c>
      <c r="F102" s="6">
        <f>D102+E102</f>
        <v>2195.94</v>
      </c>
      <c r="G102" s="23" t="s">
        <v>1211</v>
      </c>
      <c r="H102" s="5" t="s">
        <v>3</v>
      </c>
    </row>
    <row r="103" spans="1:8" x14ac:dyDescent="0.25">
      <c r="A103" s="5" t="s">
        <v>3</v>
      </c>
      <c r="B103" s="5" t="s">
        <v>3</v>
      </c>
      <c r="C103" s="5" t="s">
        <v>215</v>
      </c>
      <c r="D103" s="6">
        <v>55248.33</v>
      </c>
      <c r="E103" s="28">
        <v>803.62</v>
      </c>
      <c r="F103" s="6">
        <f>D103+E103</f>
        <v>56051.95</v>
      </c>
      <c r="G103" s="22" t="s">
        <v>1212</v>
      </c>
      <c r="H103" s="5" t="s">
        <v>3</v>
      </c>
    </row>
    <row r="104" spans="1:8" x14ac:dyDescent="0.25">
      <c r="A104" s="5" t="s">
        <v>3</v>
      </c>
      <c r="B104" s="5" t="s">
        <v>3</v>
      </c>
      <c r="C104" s="5" t="s">
        <v>182</v>
      </c>
      <c r="D104" s="6">
        <v>79231.56</v>
      </c>
      <c r="E104" s="6">
        <v>0</v>
      </c>
      <c r="F104" s="6">
        <f>D104+E104</f>
        <v>79231.56</v>
      </c>
      <c r="G104" s="5" t="s">
        <v>3</v>
      </c>
      <c r="H104" s="5" t="s">
        <v>3</v>
      </c>
    </row>
    <row r="105" spans="1:8" x14ac:dyDescent="0.25">
      <c r="A105" s="5" t="s">
        <v>3</v>
      </c>
      <c r="B105" s="5" t="s">
        <v>3</v>
      </c>
      <c r="C105" s="5" t="s">
        <v>95</v>
      </c>
      <c r="D105" s="6">
        <v>13226.53</v>
      </c>
      <c r="E105" s="6">
        <v>0</v>
      </c>
      <c r="F105" s="6">
        <f>D105+E105</f>
        <v>13226.53</v>
      </c>
      <c r="G105" s="5" t="s">
        <v>3</v>
      </c>
      <c r="H105" s="5" t="s">
        <v>3</v>
      </c>
    </row>
    <row r="106" spans="1:8" x14ac:dyDescent="0.25">
      <c r="A106" s="5" t="s">
        <v>3</v>
      </c>
      <c r="B106" s="5" t="s">
        <v>3</v>
      </c>
      <c r="C106" s="5" t="s">
        <v>593</v>
      </c>
      <c r="D106" s="6">
        <v>11114.26</v>
      </c>
      <c r="E106" s="6">
        <v>0</v>
      </c>
      <c r="F106" s="6">
        <f>D106+E106</f>
        <v>11114.26</v>
      </c>
      <c r="G106" s="5" t="s">
        <v>3</v>
      </c>
      <c r="H106" s="5" t="s">
        <v>3</v>
      </c>
    </row>
    <row r="107" spans="1:8" x14ac:dyDescent="0.25">
      <c r="A107" s="5" t="s">
        <v>3</v>
      </c>
      <c r="B107" s="5" t="s">
        <v>3</v>
      </c>
      <c r="C107" s="5" t="s">
        <v>595</v>
      </c>
      <c r="D107" s="6">
        <v>11053.86</v>
      </c>
      <c r="E107" s="6">
        <v>0</v>
      </c>
      <c r="F107" s="6">
        <f>D107+E107</f>
        <v>11053.86</v>
      </c>
      <c r="G107" s="5" t="s">
        <v>3</v>
      </c>
      <c r="H107" s="5" t="s">
        <v>3</v>
      </c>
    </row>
    <row r="108" spans="1:8" x14ac:dyDescent="0.25">
      <c r="A108" s="5" t="s">
        <v>3</v>
      </c>
      <c r="B108" s="5" t="s">
        <v>3</v>
      </c>
      <c r="C108" s="5" t="s">
        <v>600</v>
      </c>
      <c r="D108" s="6">
        <v>10762.65</v>
      </c>
      <c r="E108" s="6">
        <v>0</v>
      </c>
      <c r="F108" s="6">
        <f>D108+E108</f>
        <v>10762.65</v>
      </c>
      <c r="G108" s="5" t="s">
        <v>3</v>
      </c>
      <c r="H108" s="5" t="s">
        <v>3</v>
      </c>
    </row>
    <row r="109" spans="1:8" x14ac:dyDescent="0.25">
      <c r="A109" s="5" t="s">
        <v>3</v>
      </c>
      <c r="B109" s="5" t="s">
        <v>3</v>
      </c>
      <c r="C109" s="5" t="s">
        <v>590</v>
      </c>
      <c r="D109" s="6">
        <v>10726.58</v>
      </c>
      <c r="E109" s="6">
        <v>0</v>
      </c>
      <c r="F109" s="6">
        <f>D109+E109</f>
        <v>10726.58</v>
      </c>
      <c r="G109" s="5" t="s">
        <v>3</v>
      </c>
      <c r="H109" s="5" t="s">
        <v>3</v>
      </c>
    </row>
    <row r="110" spans="1:8" x14ac:dyDescent="0.25">
      <c r="A110" s="5" t="s">
        <v>3</v>
      </c>
      <c r="B110" s="5" t="s">
        <v>3</v>
      </c>
      <c r="C110" s="5" t="s">
        <v>162</v>
      </c>
      <c r="D110" s="6">
        <v>-8635.93</v>
      </c>
      <c r="E110" s="6">
        <v>0</v>
      </c>
      <c r="F110" s="6">
        <f>D110+E110</f>
        <v>-8635.93</v>
      </c>
      <c r="G110" s="5" t="s">
        <v>3</v>
      </c>
      <c r="H110" s="5" t="s">
        <v>3</v>
      </c>
    </row>
    <row r="111" spans="1:8" x14ac:dyDescent="0.25">
      <c r="A111" s="5" t="s">
        <v>3</v>
      </c>
      <c r="B111" s="5" t="s">
        <v>3</v>
      </c>
      <c r="C111" s="5" t="s">
        <v>1195</v>
      </c>
      <c r="D111" s="6">
        <v>6016.37</v>
      </c>
      <c r="E111" s="6">
        <v>0</v>
      </c>
      <c r="F111" s="6">
        <f>D111+E111</f>
        <v>6016.37</v>
      </c>
      <c r="G111" s="5" t="s">
        <v>3</v>
      </c>
      <c r="H111" s="5" t="s">
        <v>3</v>
      </c>
    </row>
    <row r="112" spans="1:8" x14ac:dyDescent="0.25">
      <c r="A112" s="5" t="s">
        <v>3</v>
      </c>
      <c r="B112" s="5" t="s">
        <v>3</v>
      </c>
      <c r="C112" s="5" t="s">
        <v>149</v>
      </c>
      <c r="D112" s="6">
        <v>5000</v>
      </c>
      <c r="E112" s="6">
        <v>0</v>
      </c>
      <c r="F112" s="6">
        <f>D112+E112</f>
        <v>5000</v>
      </c>
      <c r="G112" s="5" t="s">
        <v>3</v>
      </c>
      <c r="H112" s="5" t="s">
        <v>3</v>
      </c>
    </row>
    <row r="113" spans="1:8" x14ac:dyDescent="0.25">
      <c r="A113" s="5" t="s">
        <v>3</v>
      </c>
      <c r="B113" s="5" t="s">
        <v>3</v>
      </c>
      <c r="C113" s="5" t="s">
        <v>554</v>
      </c>
      <c r="D113" s="6">
        <v>4225.15</v>
      </c>
      <c r="E113" s="6">
        <v>0</v>
      </c>
      <c r="F113" s="6">
        <f>D113+E113</f>
        <v>4225.15</v>
      </c>
      <c r="G113" s="5" t="s">
        <v>3</v>
      </c>
      <c r="H113" s="5" t="s">
        <v>3</v>
      </c>
    </row>
    <row r="114" spans="1:8" x14ac:dyDescent="0.25">
      <c r="A114" s="5" t="s">
        <v>3</v>
      </c>
      <c r="B114" s="5" t="s">
        <v>3</v>
      </c>
      <c r="C114" s="5" t="s">
        <v>1213</v>
      </c>
      <c r="D114" s="6">
        <v>-3208.74</v>
      </c>
      <c r="E114" s="6">
        <v>0</v>
      </c>
      <c r="F114" s="6">
        <f>D114+E114</f>
        <v>-3208.74</v>
      </c>
      <c r="G114" s="5" t="s">
        <v>3</v>
      </c>
      <c r="H114" s="5" t="s">
        <v>1214</v>
      </c>
    </row>
    <row r="115" spans="1:8" x14ac:dyDescent="0.25">
      <c r="A115" s="5" t="s">
        <v>3</v>
      </c>
      <c r="B115" s="5" t="s">
        <v>3</v>
      </c>
      <c r="C115" s="5" t="s">
        <v>785</v>
      </c>
      <c r="D115" s="6">
        <v>3177.21</v>
      </c>
      <c r="E115" s="6">
        <v>0</v>
      </c>
      <c r="F115" s="6">
        <f>D115+E115</f>
        <v>3177.21</v>
      </c>
      <c r="G115" s="5" t="s">
        <v>3</v>
      </c>
      <c r="H115" s="5" t="s">
        <v>3</v>
      </c>
    </row>
    <row r="116" spans="1:8" x14ac:dyDescent="0.25">
      <c r="A116" s="5" t="s">
        <v>3</v>
      </c>
      <c r="B116" s="5" t="s">
        <v>3</v>
      </c>
      <c r="C116" s="5" t="s">
        <v>589</v>
      </c>
      <c r="D116" s="6">
        <v>2618.09</v>
      </c>
      <c r="E116" s="6">
        <v>0</v>
      </c>
      <c r="F116" s="6">
        <f>D116+E116</f>
        <v>2618.09</v>
      </c>
      <c r="G116" s="5" t="s">
        <v>3</v>
      </c>
      <c r="H116" s="5" t="s">
        <v>3</v>
      </c>
    </row>
    <row r="117" spans="1:8" x14ac:dyDescent="0.25">
      <c r="A117" s="5" t="s">
        <v>3</v>
      </c>
      <c r="B117" s="5" t="s">
        <v>3</v>
      </c>
      <c r="C117" s="5" t="s">
        <v>601</v>
      </c>
      <c r="D117" s="6">
        <v>1304</v>
      </c>
      <c r="E117" s="6">
        <v>0</v>
      </c>
      <c r="F117" s="6">
        <f>D117+E117</f>
        <v>1304</v>
      </c>
      <c r="G117" s="5" t="s">
        <v>3</v>
      </c>
      <c r="H117" s="5" t="s">
        <v>3</v>
      </c>
    </row>
    <row r="118" spans="1:8" x14ac:dyDescent="0.25">
      <c r="A118" s="5" t="s">
        <v>3</v>
      </c>
      <c r="B118" s="5" t="s">
        <v>3</v>
      </c>
      <c r="C118" s="5" t="s">
        <v>99</v>
      </c>
      <c r="D118" s="6">
        <v>-1013.8</v>
      </c>
      <c r="E118" s="6">
        <v>0</v>
      </c>
      <c r="F118" s="6">
        <f>D118+E118</f>
        <v>-1013.8</v>
      </c>
      <c r="G118" s="5" t="s">
        <v>3</v>
      </c>
      <c r="H118" s="5" t="s">
        <v>1215</v>
      </c>
    </row>
    <row r="119" spans="1:8" x14ac:dyDescent="0.25">
      <c r="A119" s="5" t="s">
        <v>3</v>
      </c>
      <c r="B119" s="5" t="s">
        <v>3</v>
      </c>
      <c r="C119" s="5" t="s">
        <v>1042</v>
      </c>
      <c r="D119" s="6">
        <v>-990</v>
      </c>
      <c r="E119" s="6">
        <v>0</v>
      </c>
      <c r="F119" s="6">
        <f>D119+E119</f>
        <v>-990</v>
      </c>
      <c r="G119" s="5" t="s">
        <v>3</v>
      </c>
      <c r="H119" s="5" t="s">
        <v>3</v>
      </c>
    </row>
    <row r="120" spans="1:8" x14ac:dyDescent="0.25">
      <c r="A120" s="5" t="s">
        <v>3</v>
      </c>
      <c r="B120" s="5" t="s">
        <v>3</v>
      </c>
      <c r="C120" s="5" t="s">
        <v>602</v>
      </c>
      <c r="D120" s="6">
        <v>960</v>
      </c>
      <c r="E120" s="6">
        <v>0</v>
      </c>
      <c r="F120" s="6">
        <f>D120+E120</f>
        <v>960</v>
      </c>
      <c r="G120" s="5" t="s">
        <v>3</v>
      </c>
      <c r="H120" s="5" t="s">
        <v>3</v>
      </c>
    </row>
    <row r="121" spans="1:8" x14ac:dyDescent="0.25">
      <c r="A121" s="5" t="s">
        <v>3</v>
      </c>
      <c r="B121" s="5" t="s">
        <v>3</v>
      </c>
      <c r="C121" s="5" t="s">
        <v>563</v>
      </c>
      <c r="D121" s="6">
        <v>829.87</v>
      </c>
      <c r="E121" s="6">
        <v>0</v>
      </c>
      <c r="F121" s="6">
        <f>D121+E121</f>
        <v>829.87</v>
      </c>
      <c r="G121" s="5" t="s">
        <v>3</v>
      </c>
      <c r="H121" s="5" t="s">
        <v>3</v>
      </c>
    </row>
    <row r="122" spans="1:8" x14ac:dyDescent="0.25">
      <c r="A122" s="5" t="s">
        <v>3</v>
      </c>
      <c r="B122" s="5" t="s">
        <v>3</v>
      </c>
      <c r="C122" s="5" t="s">
        <v>97</v>
      </c>
      <c r="D122" s="6">
        <v>723.81</v>
      </c>
      <c r="E122" s="6">
        <v>0</v>
      </c>
      <c r="F122" s="6">
        <f>D122+E122</f>
        <v>723.81</v>
      </c>
      <c r="G122" s="5" t="s">
        <v>3</v>
      </c>
      <c r="H122" s="5" t="s">
        <v>3</v>
      </c>
    </row>
    <row r="123" spans="1:8" x14ac:dyDescent="0.25">
      <c r="A123" s="5" t="s">
        <v>3</v>
      </c>
      <c r="B123" s="5" t="s">
        <v>3</v>
      </c>
      <c r="C123" s="5" t="s">
        <v>841</v>
      </c>
      <c r="D123" s="6">
        <v>692.9</v>
      </c>
      <c r="E123" s="6">
        <v>0</v>
      </c>
      <c r="F123" s="6">
        <f>D123+E123</f>
        <v>692.9</v>
      </c>
      <c r="G123" s="5" t="s">
        <v>3</v>
      </c>
      <c r="H123" s="5" t="s">
        <v>3</v>
      </c>
    </row>
    <row r="124" spans="1:8" x14ac:dyDescent="0.25">
      <c r="A124" s="5" t="s">
        <v>3</v>
      </c>
      <c r="B124" s="5" t="s">
        <v>3</v>
      </c>
      <c r="C124" s="5" t="s">
        <v>1216</v>
      </c>
      <c r="D124" s="6">
        <v>-450</v>
      </c>
      <c r="E124" s="6">
        <v>0</v>
      </c>
      <c r="F124" s="6">
        <f>D124+E124</f>
        <v>-450</v>
      </c>
      <c r="G124" s="5" t="s">
        <v>3</v>
      </c>
      <c r="H124" s="5" t="s">
        <v>1217</v>
      </c>
    </row>
    <row r="125" spans="1:8" x14ac:dyDescent="0.25">
      <c r="A125" s="5" t="s">
        <v>3</v>
      </c>
      <c r="B125" s="5" t="s">
        <v>3</v>
      </c>
      <c r="C125" s="5" t="s">
        <v>1218</v>
      </c>
      <c r="D125" s="6">
        <v>256.42</v>
      </c>
      <c r="E125" s="6">
        <v>0</v>
      </c>
      <c r="F125" s="6">
        <f>D125+E125</f>
        <v>256.42</v>
      </c>
      <c r="G125" s="5" t="s">
        <v>3</v>
      </c>
      <c r="H125" s="5" t="s">
        <v>3</v>
      </c>
    </row>
    <row r="126" spans="1:8" x14ac:dyDescent="0.25">
      <c r="A126" s="5" t="s">
        <v>3</v>
      </c>
      <c r="B126" s="5" t="s">
        <v>3</v>
      </c>
      <c r="C126" s="5" t="s">
        <v>255</v>
      </c>
      <c r="D126" s="6">
        <v>239.71</v>
      </c>
      <c r="E126" s="6">
        <v>0</v>
      </c>
      <c r="F126" s="6">
        <f>D126+E126</f>
        <v>239.71</v>
      </c>
      <c r="G126" s="5" t="s">
        <v>3</v>
      </c>
      <c r="H126" s="5" t="s">
        <v>3</v>
      </c>
    </row>
    <row r="127" spans="1:8" x14ac:dyDescent="0.25">
      <c r="A127" s="5" t="s">
        <v>3</v>
      </c>
      <c r="B127" s="5" t="s">
        <v>3</v>
      </c>
      <c r="C127" s="5" t="s">
        <v>1046</v>
      </c>
      <c r="D127" s="6">
        <v>177.55</v>
      </c>
      <c r="E127" s="6">
        <v>0</v>
      </c>
      <c r="F127" s="6">
        <f>D127+E127</f>
        <v>177.55</v>
      </c>
      <c r="G127" s="5" t="s">
        <v>3</v>
      </c>
      <c r="H127" s="5" t="s">
        <v>3</v>
      </c>
    </row>
    <row r="128" spans="1:8" x14ac:dyDescent="0.25">
      <c r="A128" s="5" t="s">
        <v>3</v>
      </c>
      <c r="B128" s="5" t="s">
        <v>3</v>
      </c>
      <c r="C128" s="5" t="s">
        <v>1219</v>
      </c>
      <c r="D128" s="6">
        <v>-173.25</v>
      </c>
      <c r="E128" s="6">
        <v>0</v>
      </c>
      <c r="F128" s="6">
        <f>D128+E128</f>
        <v>-173.25</v>
      </c>
      <c r="G128" s="5" t="s">
        <v>3</v>
      </c>
      <c r="H128" s="5" t="s">
        <v>1220</v>
      </c>
    </row>
    <row r="129" spans="1:8" x14ac:dyDescent="0.25">
      <c r="A129" s="5" t="s">
        <v>3</v>
      </c>
      <c r="B129" s="5" t="s">
        <v>3</v>
      </c>
      <c r="C129" s="5" t="s">
        <v>594</v>
      </c>
      <c r="D129" s="6">
        <v>148.85</v>
      </c>
      <c r="E129" s="6">
        <v>0</v>
      </c>
      <c r="F129" s="6">
        <f>D129+E129</f>
        <v>148.85</v>
      </c>
      <c r="G129" s="5" t="s">
        <v>3</v>
      </c>
      <c r="H129" s="5" t="s">
        <v>3</v>
      </c>
    </row>
    <row r="130" spans="1:8" x14ac:dyDescent="0.25">
      <c r="A130" s="5" t="s">
        <v>3</v>
      </c>
      <c r="B130" s="5" t="s">
        <v>3</v>
      </c>
      <c r="C130" s="5" t="s">
        <v>1221</v>
      </c>
      <c r="D130" s="6">
        <v>134.17</v>
      </c>
      <c r="E130" s="6">
        <v>0</v>
      </c>
      <c r="F130" s="6">
        <f>D130+E130</f>
        <v>134.17</v>
      </c>
      <c r="G130" s="5" t="s">
        <v>3</v>
      </c>
      <c r="H130" s="5" t="s">
        <v>3</v>
      </c>
    </row>
    <row r="131" spans="1:8" x14ac:dyDescent="0.25">
      <c r="A131" s="5" t="s">
        <v>3</v>
      </c>
      <c r="B131" s="5" t="s">
        <v>3</v>
      </c>
      <c r="C131" s="5" t="s">
        <v>605</v>
      </c>
      <c r="D131" s="6">
        <v>123.43</v>
      </c>
      <c r="E131" s="6">
        <v>0</v>
      </c>
      <c r="F131" s="6">
        <f>D131+E131</f>
        <v>123.43</v>
      </c>
      <c r="G131" s="5" t="s">
        <v>3</v>
      </c>
      <c r="H131" s="5" t="s">
        <v>3</v>
      </c>
    </row>
    <row r="132" spans="1:8" x14ac:dyDescent="0.25">
      <c r="A132" s="5" t="s">
        <v>3</v>
      </c>
      <c r="B132" s="5" t="s">
        <v>3</v>
      </c>
      <c r="C132" s="5" t="s">
        <v>606</v>
      </c>
      <c r="D132" s="6">
        <v>122.96</v>
      </c>
      <c r="E132" s="6">
        <v>0</v>
      </c>
      <c r="F132" s="6">
        <f>D132+E132</f>
        <v>122.96</v>
      </c>
      <c r="G132" s="5" t="s">
        <v>3</v>
      </c>
      <c r="H132" s="5" t="s">
        <v>3</v>
      </c>
    </row>
    <row r="133" spans="1:8" x14ac:dyDescent="0.25">
      <c r="A133" s="5" t="s">
        <v>3</v>
      </c>
      <c r="B133" s="5" t="s">
        <v>3</v>
      </c>
      <c r="C133" s="5" t="s">
        <v>1032</v>
      </c>
      <c r="D133" s="6">
        <v>113.15</v>
      </c>
      <c r="E133" s="6">
        <v>0</v>
      </c>
      <c r="F133" s="6">
        <f>D133+E133</f>
        <v>113.15</v>
      </c>
      <c r="G133" s="5" t="s">
        <v>3</v>
      </c>
      <c r="H133" s="5" t="s">
        <v>3</v>
      </c>
    </row>
    <row r="134" spans="1:8" x14ac:dyDescent="0.25">
      <c r="A134" s="5" t="s">
        <v>3</v>
      </c>
      <c r="B134" s="5" t="s">
        <v>3</v>
      </c>
      <c r="C134" s="5" t="s">
        <v>1222</v>
      </c>
      <c r="D134" s="6">
        <v>107.08</v>
      </c>
      <c r="E134" s="6">
        <v>0</v>
      </c>
      <c r="F134" s="6">
        <f>D134+E134</f>
        <v>107.08</v>
      </c>
      <c r="G134" s="5" t="s">
        <v>3</v>
      </c>
      <c r="H134" s="5" t="s">
        <v>3</v>
      </c>
    </row>
    <row r="135" spans="1:8" x14ac:dyDescent="0.25">
      <c r="A135" s="5" t="s">
        <v>3</v>
      </c>
      <c r="B135" s="5" t="s">
        <v>3</v>
      </c>
      <c r="C135" s="5" t="s">
        <v>1045</v>
      </c>
      <c r="D135" s="6">
        <v>88.09</v>
      </c>
      <c r="E135" s="6">
        <v>0</v>
      </c>
      <c r="F135" s="6">
        <f>D135+E135</f>
        <v>88.09</v>
      </c>
      <c r="G135" s="5" t="s">
        <v>3</v>
      </c>
      <c r="H135" s="5" t="s">
        <v>3</v>
      </c>
    </row>
    <row r="136" spans="1:8" x14ac:dyDescent="0.25">
      <c r="A136" s="5" t="s">
        <v>3</v>
      </c>
      <c r="B136" s="5" t="s">
        <v>3</v>
      </c>
      <c r="C136" s="5" t="s">
        <v>612</v>
      </c>
      <c r="D136" s="6">
        <v>37.49</v>
      </c>
      <c r="E136" s="6">
        <v>0</v>
      </c>
      <c r="F136" s="6">
        <f>D136+E136</f>
        <v>37.49</v>
      </c>
      <c r="G136" s="5" t="s">
        <v>3</v>
      </c>
      <c r="H136" s="5" t="s">
        <v>3</v>
      </c>
    </row>
    <row r="137" spans="1:8" x14ac:dyDescent="0.25">
      <c r="A137" s="24" t="s">
        <v>384</v>
      </c>
      <c r="B137" s="24" t="s">
        <v>385</v>
      </c>
      <c r="C137" s="24" t="s">
        <v>499</v>
      </c>
      <c r="D137" s="27">
        <f>SUM(D138:D140)</f>
        <v>21930.12</v>
      </c>
      <c r="E137" s="27">
        <f>SUM(E138:E140)</f>
        <v>0</v>
      </c>
      <c r="F137" s="27">
        <f>SUM(F138:F140)</f>
        <v>21930.12</v>
      </c>
      <c r="G137" s="24" t="s">
        <v>3</v>
      </c>
      <c r="H137" s="24" t="s">
        <v>3</v>
      </c>
    </row>
    <row r="138" spans="1:8" x14ac:dyDescent="0.25">
      <c r="A138" s="5" t="s">
        <v>3</v>
      </c>
      <c r="B138" s="5" t="s">
        <v>3</v>
      </c>
      <c r="C138" s="5" t="s">
        <v>1047</v>
      </c>
      <c r="D138" s="6">
        <v>13251.5</v>
      </c>
      <c r="E138" s="6">
        <v>0</v>
      </c>
      <c r="F138" s="6">
        <f>D138+E138</f>
        <v>13251.5</v>
      </c>
      <c r="G138" s="5" t="s">
        <v>3</v>
      </c>
      <c r="H138" s="5" t="s">
        <v>3</v>
      </c>
    </row>
    <row r="139" spans="1:8" x14ac:dyDescent="0.25">
      <c r="A139" s="5" t="s">
        <v>3</v>
      </c>
      <c r="B139" s="5" t="s">
        <v>3</v>
      </c>
      <c r="C139" s="5" t="s">
        <v>615</v>
      </c>
      <c r="D139" s="6">
        <v>5678.62</v>
      </c>
      <c r="E139" s="6">
        <v>0</v>
      </c>
      <c r="F139" s="6">
        <f>D139+E139</f>
        <v>5678.62</v>
      </c>
      <c r="G139" s="5" t="s">
        <v>3</v>
      </c>
      <c r="H139" s="5" t="s">
        <v>3</v>
      </c>
    </row>
    <row r="140" spans="1:8" x14ac:dyDescent="0.25">
      <c r="A140" s="5" t="s">
        <v>3</v>
      </c>
      <c r="B140" s="5" t="s">
        <v>3</v>
      </c>
      <c r="C140" s="5" t="s">
        <v>552</v>
      </c>
      <c r="D140" s="6">
        <v>3000</v>
      </c>
      <c r="E140" s="6">
        <v>0</v>
      </c>
      <c r="F140" s="6">
        <f>D140+E140</f>
        <v>3000</v>
      </c>
      <c r="G140" s="5" t="s">
        <v>3</v>
      </c>
      <c r="H140" s="5" t="s">
        <v>3</v>
      </c>
    </row>
    <row r="141" spans="1:8" x14ac:dyDescent="0.25">
      <c r="A141" s="24" t="s">
        <v>386</v>
      </c>
      <c r="B141" s="24" t="s">
        <v>387</v>
      </c>
      <c r="C141" s="24" t="s">
        <v>499</v>
      </c>
      <c r="D141" s="27">
        <f>SUM(D142:D143)</f>
        <v>2473.96</v>
      </c>
      <c r="E141" s="27">
        <f>SUM(E142:E143)</f>
        <v>0</v>
      </c>
      <c r="F141" s="27">
        <f>SUM(F142:F143)</f>
        <v>2473.96</v>
      </c>
      <c r="G141" s="24" t="s">
        <v>3</v>
      </c>
      <c r="H141" s="24" t="s">
        <v>3</v>
      </c>
    </row>
    <row r="142" spans="1:8" x14ac:dyDescent="0.25">
      <c r="A142" s="5" t="s">
        <v>3</v>
      </c>
      <c r="B142" s="5" t="s">
        <v>3</v>
      </c>
      <c r="C142" s="5" t="s">
        <v>1048</v>
      </c>
      <c r="D142" s="6">
        <v>1748.94</v>
      </c>
      <c r="E142" s="6">
        <v>0</v>
      </c>
      <c r="F142" s="6">
        <f>D142+E142</f>
        <v>1748.94</v>
      </c>
      <c r="G142" s="5" t="s">
        <v>3</v>
      </c>
      <c r="H142" s="5" t="s">
        <v>3</v>
      </c>
    </row>
    <row r="143" spans="1:8" x14ac:dyDescent="0.25">
      <c r="A143" s="5" t="s">
        <v>3</v>
      </c>
      <c r="B143" s="5" t="s">
        <v>3</v>
      </c>
      <c r="C143" s="5" t="s">
        <v>1049</v>
      </c>
      <c r="D143" s="6">
        <v>725.02</v>
      </c>
      <c r="E143" s="6">
        <v>0</v>
      </c>
      <c r="F143" s="6">
        <f>D143+E143</f>
        <v>725.02</v>
      </c>
      <c r="G143" s="5" t="s">
        <v>3</v>
      </c>
      <c r="H143" s="5" t="s">
        <v>3</v>
      </c>
    </row>
    <row r="144" spans="1:8" x14ac:dyDescent="0.25">
      <c r="A144" s="24" t="s">
        <v>388</v>
      </c>
      <c r="B144" s="24" t="s">
        <v>389</v>
      </c>
      <c r="C144" s="24" t="s">
        <v>499</v>
      </c>
      <c r="D144" s="27">
        <f>SUM(D145:D145)</f>
        <v>2000</v>
      </c>
      <c r="E144" s="27">
        <f>SUM(E145:E145)</f>
        <v>0</v>
      </c>
      <c r="F144" s="27">
        <f>SUM(F145:F145)</f>
        <v>2000</v>
      </c>
      <c r="G144" s="24" t="s">
        <v>3</v>
      </c>
      <c r="H144" s="24" t="s">
        <v>3</v>
      </c>
    </row>
    <row r="145" spans="1:8" x14ac:dyDescent="0.25">
      <c r="A145" s="5" t="s">
        <v>3</v>
      </c>
      <c r="B145" s="5" t="s">
        <v>3</v>
      </c>
      <c r="C145" s="5" t="s">
        <v>882</v>
      </c>
      <c r="D145" s="6">
        <v>2000</v>
      </c>
      <c r="E145" s="6">
        <v>0</v>
      </c>
      <c r="F145" s="6">
        <f>D145+E145</f>
        <v>2000</v>
      </c>
      <c r="G145" s="5" t="s">
        <v>3</v>
      </c>
      <c r="H145" s="5" t="s">
        <v>3</v>
      </c>
    </row>
    <row r="146" spans="1:8" x14ac:dyDescent="0.25">
      <c r="A146" s="24" t="s">
        <v>390</v>
      </c>
      <c r="B146" s="24" t="s">
        <v>391</v>
      </c>
      <c r="C146" s="24" t="s">
        <v>499</v>
      </c>
      <c r="D146" s="27">
        <f>SUM(D147:D151)</f>
        <v>-473.05</v>
      </c>
      <c r="E146" s="27">
        <f>SUM(E147:E151)</f>
        <v>0</v>
      </c>
      <c r="F146" s="27">
        <f>SUM(F147:F151)</f>
        <v>-473.05</v>
      </c>
      <c r="G146" s="24" t="s">
        <v>3</v>
      </c>
      <c r="H146" s="24" t="s">
        <v>3</v>
      </c>
    </row>
    <row r="147" spans="1:8" x14ac:dyDescent="0.25">
      <c r="A147" s="5" t="s">
        <v>3</v>
      </c>
      <c r="B147" s="5" t="s">
        <v>3</v>
      </c>
      <c r="C147" s="5" t="s">
        <v>1124</v>
      </c>
      <c r="D147" s="6">
        <v>-1558</v>
      </c>
      <c r="E147" s="6">
        <v>0</v>
      </c>
      <c r="F147" s="6">
        <f>D147+E147</f>
        <v>-1558</v>
      </c>
      <c r="G147" s="5" t="s">
        <v>3</v>
      </c>
      <c r="H147" s="5" t="s">
        <v>1223</v>
      </c>
    </row>
    <row r="148" spans="1:8" x14ac:dyDescent="0.25">
      <c r="A148" s="5" t="s">
        <v>3</v>
      </c>
      <c r="B148" s="5" t="s">
        <v>3</v>
      </c>
      <c r="C148" s="5" t="s">
        <v>620</v>
      </c>
      <c r="D148" s="6">
        <v>569</v>
      </c>
      <c r="E148" s="6">
        <v>0</v>
      </c>
      <c r="F148" s="6">
        <f>D148+E148</f>
        <v>569</v>
      </c>
      <c r="G148" s="5" t="s">
        <v>3</v>
      </c>
      <c r="H148" s="5" t="s">
        <v>3</v>
      </c>
    </row>
    <row r="149" spans="1:8" x14ac:dyDescent="0.25">
      <c r="A149" s="5" t="s">
        <v>3</v>
      </c>
      <c r="B149" s="5" t="s">
        <v>3</v>
      </c>
      <c r="C149" s="5" t="s">
        <v>1224</v>
      </c>
      <c r="D149" s="6">
        <v>325</v>
      </c>
      <c r="E149" s="6">
        <v>0</v>
      </c>
      <c r="F149" s="6">
        <f>D149+E149</f>
        <v>325</v>
      </c>
      <c r="G149" s="5" t="s">
        <v>3</v>
      </c>
      <c r="H149" s="5" t="s">
        <v>3</v>
      </c>
    </row>
    <row r="150" spans="1:8" x14ac:dyDescent="0.25">
      <c r="A150" s="5" t="s">
        <v>3</v>
      </c>
      <c r="B150" s="5" t="s">
        <v>3</v>
      </c>
      <c r="C150" s="5" t="s">
        <v>1225</v>
      </c>
      <c r="D150" s="6">
        <v>120</v>
      </c>
      <c r="E150" s="6">
        <v>0</v>
      </c>
      <c r="F150" s="6">
        <f>D150+E150</f>
        <v>120</v>
      </c>
      <c r="G150" s="5" t="s">
        <v>3</v>
      </c>
      <c r="H150" s="5" t="s">
        <v>3</v>
      </c>
    </row>
    <row r="151" spans="1:8" x14ac:dyDescent="0.25">
      <c r="A151" s="5" t="s">
        <v>3</v>
      </c>
      <c r="B151" s="5" t="s">
        <v>3</v>
      </c>
      <c r="C151" s="5" t="s">
        <v>1126</v>
      </c>
      <c r="D151" s="6">
        <v>70.95</v>
      </c>
      <c r="E151" s="6">
        <v>0</v>
      </c>
      <c r="F151" s="6">
        <f>D151+E151</f>
        <v>70.95</v>
      </c>
      <c r="G151" s="5" t="s">
        <v>3</v>
      </c>
      <c r="H151" s="5" t="s">
        <v>3</v>
      </c>
    </row>
    <row r="152" spans="1:8" x14ac:dyDescent="0.25">
      <c r="A152" s="24" t="s">
        <v>392</v>
      </c>
      <c r="B152" s="24" t="s">
        <v>393</v>
      </c>
      <c r="C152" s="24" t="s">
        <v>499</v>
      </c>
      <c r="D152" s="27">
        <f>SUM(D153:D159)</f>
        <v>14261.79</v>
      </c>
      <c r="E152" s="27">
        <f>SUM(E153:E159)</f>
        <v>0</v>
      </c>
      <c r="F152" s="27">
        <f>SUM(F153:F159)</f>
        <v>14261.79</v>
      </c>
      <c r="G152" s="24" t="s">
        <v>3</v>
      </c>
      <c r="H152" s="24" t="s">
        <v>3</v>
      </c>
    </row>
    <row r="153" spans="1:8" x14ac:dyDescent="0.25">
      <c r="A153" s="5" t="s">
        <v>3</v>
      </c>
      <c r="B153" s="5" t="s">
        <v>3</v>
      </c>
      <c r="C153" s="5" t="s">
        <v>1050</v>
      </c>
      <c r="D153" s="6">
        <v>10302.97</v>
      </c>
      <c r="E153" s="6">
        <v>0</v>
      </c>
      <c r="F153" s="6">
        <f>D153+E153</f>
        <v>10302.97</v>
      </c>
      <c r="G153" s="5" t="s">
        <v>3</v>
      </c>
      <c r="H153" s="5" t="s">
        <v>3</v>
      </c>
    </row>
    <row r="154" spans="1:8" x14ac:dyDescent="0.25">
      <c r="A154" s="5" t="s">
        <v>3</v>
      </c>
      <c r="B154" s="5" t="s">
        <v>3</v>
      </c>
      <c r="C154" s="5" t="s">
        <v>745</v>
      </c>
      <c r="D154" s="6">
        <v>1336.81</v>
      </c>
      <c r="E154" s="6">
        <v>0</v>
      </c>
      <c r="F154" s="6">
        <f>D154+E154</f>
        <v>1336.81</v>
      </c>
      <c r="G154" s="5" t="s">
        <v>3</v>
      </c>
      <c r="H154" s="5" t="s">
        <v>3</v>
      </c>
    </row>
    <row r="155" spans="1:8" x14ac:dyDescent="0.25">
      <c r="A155" s="5" t="s">
        <v>3</v>
      </c>
      <c r="B155" s="5" t="s">
        <v>3</v>
      </c>
      <c r="C155" s="5" t="s">
        <v>1226</v>
      </c>
      <c r="D155" s="6">
        <v>723.62</v>
      </c>
      <c r="E155" s="6">
        <v>0</v>
      </c>
      <c r="F155" s="6">
        <f>D155+E155</f>
        <v>723.62</v>
      </c>
      <c r="G155" s="5" t="s">
        <v>3</v>
      </c>
      <c r="H155" s="5" t="s">
        <v>3</v>
      </c>
    </row>
    <row r="156" spans="1:8" x14ac:dyDescent="0.25">
      <c r="A156" s="5" t="s">
        <v>3</v>
      </c>
      <c r="B156" s="5" t="s">
        <v>3</v>
      </c>
      <c r="C156" s="5" t="s">
        <v>1051</v>
      </c>
      <c r="D156" s="6">
        <v>609.08</v>
      </c>
      <c r="E156" s="6">
        <v>0</v>
      </c>
      <c r="F156" s="6">
        <f>D156+E156</f>
        <v>609.08</v>
      </c>
      <c r="G156" s="5" t="s">
        <v>3</v>
      </c>
      <c r="H156" s="5" t="s">
        <v>3</v>
      </c>
    </row>
    <row r="157" spans="1:8" x14ac:dyDescent="0.25">
      <c r="A157" s="5" t="s">
        <v>3</v>
      </c>
      <c r="B157" s="5" t="s">
        <v>3</v>
      </c>
      <c r="C157" s="5" t="s">
        <v>151</v>
      </c>
      <c r="D157" s="6">
        <v>551.62</v>
      </c>
      <c r="E157" s="6">
        <v>0</v>
      </c>
      <c r="F157" s="6">
        <f>D157+E157</f>
        <v>551.62</v>
      </c>
      <c r="G157" s="5" t="s">
        <v>3</v>
      </c>
      <c r="H157" s="5" t="s">
        <v>3</v>
      </c>
    </row>
    <row r="158" spans="1:8" x14ac:dyDescent="0.25">
      <c r="A158" s="5" t="s">
        <v>3</v>
      </c>
      <c r="B158" s="5" t="s">
        <v>3</v>
      </c>
      <c r="C158" s="5" t="s">
        <v>623</v>
      </c>
      <c r="D158" s="6">
        <v>543.04</v>
      </c>
      <c r="E158" s="6">
        <v>0</v>
      </c>
      <c r="F158" s="6">
        <f>D158+E158</f>
        <v>543.04</v>
      </c>
      <c r="G158" s="5" t="s">
        <v>3</v>
      </c>
      <c r="H158" s="5" t="s">
        <v>3</v>
      </c>
    </row>
    <row r="159" spans="1:8" x14ac:dyDescent="0.25">
      <c r="A159" s="5" t="s">
        <v>3</v>
      </c>
      <c r="B159" s="5" t="s">
        <v>3</v>
      </c>
      <c r="C159" s="5" t="s">
        <v>508</v>
      </c>
      <c r="D159" s="6">
        <v>194.65</v>
      </c>
      <c r="E159" s="6">
        <v>0</v>
      </c>
      <c r="F159" s="6">
        <f>D159+E159</f>
        <v>194.65</v>
      </c>
      <c r="G159" s="5" t="s">
        <v>3</v>
      </c>
      <c r="H159" s="5" t="s">
        <v>3</v>
      </c>
    </row>
    <row r="160" spans="1:8" x14ac:dyDescent="0.25">
      <c r="A160" s="24" t="s">
        <v>394</v>
      </c>
      <c r="B160" s="24" t="s">
        <v>395</v>
      </c>
      <c r="C160" s="24" t="s">
        <v>499</v>
      </c>
      <c r="D160" s="27">
        <f>SUM(D161:D165)</f>
        <v>1300.59</v>
      </c>
      <c r="E160" s="27">
        <f>SUM(E161:E165)</f>
        <v>0</v>
      </c>
      <c r="F160" s="27">
        <f>SUM(F161:F165)</f>
        <v>1300.59</v>
      </c>
      <c r="G160" s="24" t="s">
        <v>3</v>
      </c>
      <c r="H160" s="24" t="s">
        <v>3</v>
      </c>
    </row>
    <row r="161" spans="1:8" x14ac:dyDescent="0.25">
      <c r="A161" s="5" t="s">
        <v>3</v>
      </c>
      <c r="B161" s="5" t="s">
        <v>3</v>
      </c>
      <c r="C161" s="5" t="s">
        <v>627</v>
      </c>
      <c r="D161" s="6">
        <v>2144.35</v>
      </c>
      <c r="E161" s="6">
        <v>0</v>
      </c>
      <c r="F161" s="6">
        <f>D161+E161</f>
        <v>2144.35</v>
      </c>
      <c r="G161" s="5" t="s">
        <v>3</v>
      </c>
      <c r="H161" s="5" t="s">
        <v>3</v>
      </c>
    </row>
    <row r="162" spans="1:8" x14ac:dyDescent="0.25">
      <c r="A162" s="5" t="s">
        <v>3</v>
      </c>
      <c r="B162" s="5" t="s">
        <v>3</v>
      </c>
      <c r="C162" s="5" t="s">
        <v>636</v>
      </c>
      <c r="D162" s="6">
        <v>-1378.8</v>
      </c>
      <c r="E162" s="6">
        <v>0</v>
      </c>
      <c r="F162" s="6">
        <f>D162+E162</f>
        <v>-1378.8</v>
      </c>
      <c r="G162" s="5" t="s">
        <v>3</v>
      </c>
      <c r="H162" s="5" t="s">
        <v>3</v>
      </c>
    </row>
    <row r="163" spans="1:8" x14ac:dyDescent="0.25">
      <c r="A163" s="5" t="s">
        <v>3</v>
      </c>
      <c r="B163" s="5" t="s">
        <v>3</v>
      </c>
      <c r="C163" s="5" t="s">
        <v>1227</v>
      </c>
      <c r="D163" s="6">
        <v>376.46</v>
      </c>
      <c r="E163" s="6">
        <v>0</v>
      </c>
      <c r="F163" s="6">
        <f>D163+E163</f>
        <v>376.46</v>
      </c>
      <c r="G163" s="5" t="s">
        <v>3</v>
      </c>
      <c r="H163" s="5" t="s">
        <v>3</v>
      </c>
    </row>
    <row r="164" spans="1:8" x14ac:dyDescent="0.25">
      <c r="A164" s="5" t="s">
        <v>3</v>
      </c>
      <c r="B164" s="5" t="s">
        <v>3</v>
      </c>
      <c r="C164" s="5" t="s">
        <v>1228</v>
      </c>
      <c r="D164" s="6">
        <v>144.59</v>
      </c>
      <c r="E164" s="6">
        <v>0</v>
      </c>
      <c r="F164" s="6">
        <f>D164+E164</f>
        <v>144.59</v>
      </c>
      <c r="G164" s="5" t="s">
        <v>3</v>
      </c>
      <c r="H164" s="5" t="s">
        <v>3</v>
      </c>
    </row>
    <row r="165" spans="1:8" x14ac:dyDescent="0.25">
      <c r="A165" s="5" t="s">
        <v>3</v>
      </c>
      <c r="B165" s="5" t="s">
        <v>3</v>
      </c>
      <c r="C165" s="5" t="s">
        <v>1229</v>
      </c>
      <c r="D165" s="6">
        <v>13.99</v>
      </c>
      <c r="E165" s="6">
        <v>0</v>
      </c>
      <c r="F165" s="6">
        <f>D165+E165</f>
        <v>13.99</v>
      </c>
      <c r="G165" s="5" t="s">
        <v>3</v>
      </c>
      <c r="H165" s="5" t="s">
        <v>3</v>
      </c>
    </row>
    <row r="166" spans="1:8" x14ac:dyDescent="0.25">
      <c r="A166" s="24" t="s">
        <v>396</v>
      </c>
      <c r="B166" s="24" t="s">
        <v>397</v>
      </c>
      <c r="C166" s="24" t="s">
        <v>499</v>
      </c>
      <c r="D166" s="27">
        <f>SUM(D167:D172)</f>
        <v>3812.63</v>
      </c>
      <c r="E166" s="27">
        <f>SUM(E167:E172)</f>
        <v>0</v>
      </c>
      <c r="F166" s="27">
        <f>SUM(F167:F172)</f>
        <v>3812.63</v>
      </c>
      <c r="G166" s="24" t="s">
        <v>3</v>
      </c>
      <c r="H166" s="24" t="s">
        <v>3</v>
      </c>
    </row>
    <row r="167" spans="1:8" x14ac:dyDescent="0.25">
      <c r="A167" s="5" t="s">
        <v>3</v>
      </c>
      <c r="B167" s="5" t="s">
        <v>3</v>
      </c>
      <c r="C167" s="5" t="s">
        <v>628</v>
      </c>
      <c r="D167" s="6">
        <v>1510.67</v>
      </c>
      <c r="E167" s="6">
        <v>0</v>
      </c>
      <c r="F167" s="6">
        <f>D167+E167</f>
        <v>1510.67</v>
      </c>
      <c r="G167" s="5" t="s">
        <v>3</v>
      </c>
      <c r="H167" s="5" t="s">
        <v>3</v>
      </c>
    </row>
    <row r="168" spans="1:8" x14ac:dyDescent="0.25">
      <c r="A168" s="5" t="s">
        <v>3</v>
      </c>
      <c r="B168" s="5" t="s">
        <v>3</v>
      </c>
      <c r="C168" s="5" t="s">
        <v>734</v>
      </c>
      <c r="D168" s="6">
        <v>758.89</v>
      </c>
      <c r="E168" s="6">
        <v>0</v>
      </c>
      <c r="F168" s="6">
        <f>D168+E168</f>
        <v>758.89</v>
      </c>
      <c r="G168" s="5" t="s">
        <v>3</v>
      </c>
      <c r="H168" s="5" t="s">
        <v>3</v>
      </c>
    </row>
    <row r="169" spans="1:8" x14ac:dyDescent="0.25">
      <c r="A169" s="5" t="s">
        <v>3</v>
      </c>
      <c r="B169" s="5" t="s">
        <v>3</v>
      </c>
      <c r="C169" s="5" t="s">
        <v>1230</v>
      </c>
      <c r="D169" s="6">
        <v>626</v>
      </c>
      <c r="E169" s="6">
        <v>0</v>
      </c>
      <c r="F169" s="6">
        <f>D169+E169</f>
        <v>626</v>
      </c>
      <c r="G169" s="5" t="s">
        <v>3</v>
      </c>
      <c r="H169" s="5" t="s">
        <v>3</v>
      </c>
    </row>
    <row r="170" spans="1:8" x14ac:dyDescent="0.25">
      <c r="A170" s="5" t="s">
        <v>3</v>
      </c>
      <c r="B170" s="5" t="s">
        <v>3</v>
      </c>
      <c r="C170" s="5" t="s">
        <v>1231</v>
      </c>
      <c r="D170" s="6">
        <v>405.83</v>
      </c>
      <c r="E170" s="6">
        <v>0</v>
      </c>
      <c r="F170" s="6">
        <f>D170+E170</f>
        <v>405.83</v>
      </c>
      <c r="G170" s="5" t="s">
        <v>3</v>
      </c>
      <c r="H170" s="5" t="s">
        <v>3</v>
      </c>
    </row>
    <row r="171" spans="1:8" x14ac:dyDescent="0.25">
      <c r="A171" s="5" t="s">
        <v>3</v>
      </c>
      <c r="B171" s="5" t="s">
        <v>3</v>
      </c>
      <c r="C171" s="5" t="s">
        <v>1227</v>
      </c>
      <c r="D171" s="6">
        <v>299.92</v>
      </c>
      <c r="E171" s="6">
        <v>0</v>
      </c>
      <c r="F171" s="6">
        <f>D171+E171</f>
        <v>299.92</v>
      </c>
      <c r="G171" s="5" t="s">
        <v>3</v>
      </c>
      <c r="H171" s="5" t="s">
        <v>3</v>
      </c>
    </row>
    <row r="172" spans="1:8" x14ac:dyDescent="0.25">
      <c r="A172" s="5" t="s">
        <v>3</v>
      </c>
      <c r="B172" s="5" t="s">
        <v>3</v>
      </c>
      <c r="C172" s="5" t="s">
        <v>833</v>
      </c>
      <c r="D172" s="6">
        <v>211.32</v>
      </c>
      <c r="E172" s="6">
        <v>0</v>
      </c>
      <c r="F172" s="6">
        <f>D172+E172</f>
        <v>211.32</v>
      </c>
      <c r="G172" s="5" t="s">
        <v>3</v>
      </c>
      <c r="H172" s="5" t="s">
        <v>3</v>
      </c>
    </row>
    <row r="173" spans="1:8" x14ac:dyDescent="0.25">
      <c r="A173" s="24" t="s">
        <v>400</v>
      </c>
      <c r="B173" s="24" t="s">
        <v>401</v>
      </c>
      <c r="C173" s="24" t="s">
        <v>499</v>
      </c>
      <c r="D173" s="27">
        <f>SUM(D174:D176)</f>
        <v>3417.46</v>
      </c>
      <c r="E173" s="27">
        <f>SUM(E174:E176)</f>
        <v>0</v>
      </c>
      <c r="F173" s="27">
        <f>SUM(F174:F176)</f>
        <v>3417.46</v>
      </c>
      <c r="G173" s="24" t="s">
        <v>3</v>
      </c>
      <c r="H173" s="24" t="s">
        <v>3</v>
      </c>
    </row>
    <row r="174" spans="1:8" x14ac:dyDescent="0.25">
      <c r="A174" s="5" t="s">
        <v>3</v>
      </c>
      <c r="B174" s="5" t="s">
        <v>3</v>
      </c>
      <c r="C174" s="5" t="s">
        <v>1065</v>
      </c>
      <c r="D174" s="6">
        <v>1877.53</v>
      </c>
      <c r="E174" s="6">
        <v>0</v>
      </c>
      <c r="F174" s="6">
        <f>D174+E174</f>
        <v>1877.53</v>
      </c>
      <c r="G174" s="5" t="s">
        <v>3</v>
      </c>
      <c r="H174" s="5" t="s">
        <v>3</v>
      </c>
    </row>
    <row r="175" spans="1:8" x14ac:dyDescent="0.25">
      <c r="A175" s="5" t="s">
        <v>3</v>
      </c>
      <c r="B175" s="5" t="s">
        <v>3</v>
      </c>
      <c r="C175" s="5" t="s">
        <v>1232</v>
      </c>
      <c r="D175" s="6">
        <v>982.8</v>
      </c>
      <c r="E175" s="6">
        <v>0</v>
      </c>
      <c r="F175" s="6">
        <f>D175+E175</f>
        <v>982.8</v>
      </c>
      <c r="G175" s="5" t="s">
        <v>3</v>
      </c>
      <c r="H175" s="5" t="s">
        <v>3</v>
      </c>
    </row>
    <row r="176" spans="1:8" x14ac:dyDescent="0.25">
      <c r="A176" s="5" t="s">
        <v>3</v>
      </c>
      <c r="B176" s="5" t="s">
        <v>3</v>
      </c>
      <c r="C176" s="5" t="s">
        <v>1233</v>
      </c>
      <c r="D176" s="6">
        <v>557.13</v>
      </c>
      <c r="E176" s="6">
        <v>0</v>
      </c>
      <c r="F176" s="6">
        <f>D176+E176</f>
        <v>557.13</v>
      </c>
      <c r="G176" s="5" t="s">
        <v>3</v>
      </c>
      <c r="H176" s="5" t="s">
        <v>3</v>
      </c>
    </row>
    <row r="177" spans="1:8" x14ac:dyDescent="0.25">
      <c r="A177" s="24" t="s">
        <v>402</v>
      </c>
      <c r="B177" s="24" t="s">
        <v>403</v>
      </c>
      <c r="C177" s="24" t="s">
        <v>499</v>
      </c>
      <c r="D177" s="27">
        <f>SUM(D178:D178)</f>
        <v>994.76</v>
      </c>
      <c r="E177" s="27">
        <f>SUM(E178:E178)</f>
        <v>0</v>
      </c>
      <c r="F177" s="27">
        <f>SUM(F178:F178)</f>
        <v>994.76</v>
      </c>
      <c r="G177" s="24" t="s">
        <v>3</v>
      </c>
      <c r="H177" s="24" t="s">
        <v>3</v>
      </c>
    </row>
    <row r="178" spans="1:8" x14ac:dyDescent="0.25">
      <c r="A178" s="5" t="s">
        <v>3</v>
      </c>
      <c r="B178" s="5" t="s">
        <v>3</v>
      </c>
      <c r="C178" s="5" t="s">
        <v>1234</v>
      </c>
      <c r="D178" s="6">
        <v>994.76</v>
      </c>
      <c r="E178" s="6">
        <v>0</v>
      </c>
      <c r="F178" s="6">
        <f>D178+E178</f>
        <v>994.76</v>
      </c>
      <c r="G178" s="5" t="s">
        <v>3</v>
      </c>
      <c r="H178" s="5" t="s">
        <v>3</v>
      </c>
    </row>
    <row r="179" spans="1:8" x14ac:dyDescent="0.25">
      <c r="A179" s="24" t="s">
        <v>406</v>
      </c>
      <c r="B179" s="24" t="s">
        <v>407</v>
      </c>
      <c r="C179" s="24" t="s">
        <v>499</v>
      </c>
      <c r="D179" s="27">
        <f>SUM(D180:D181)</f>
        <v>1767.62</v>
      </c>
      <c r="E179" s="27">
        <f>SUM(E180:E181)</f>
        <v>0</v>
      </c>
      <c r="F179" s="27">
        <f>SUM(F180:F181)</f>
        <v>1767.62</v>
      </c>
      <c r="G179" s="24" t="s">
        <v>3</v>
      </c>
      <c r="H179" s="24" t="s">
        <v>3</v>
      </c>
    </row>
    <row r="180" spans="1:8" x14ac:dyDescent="0.25">
      <c r="A180" s="5" t="s">
        <v>3</v>
      </c>
      <c r="B180" s="5" t="s">
        <v>3</v>
      </c>
      <c r="C180" s="5" t="s">
        <v>636</v>
      </c>
      <c r="D180" s="6">
        <v>1648.5</v>
      </c>
      <c r="E180" s="6">
        <v>0</v>
      </c>
      <c r="F180" s="6">
        <f>D180+E180</f>
        <v>1648.5</v>
      </c>
      <c r="G180" s="5" t="s">
        <v>3</v>
      </c>
      <c r="H180" s="5" t="s">
        <v>3</v>
      </c>
    </row>
    <row r="181" spans="1:8" x14ac:dyDescent="0.25">
      <c r="A181" s="5" t="s">
        <v>3</v>
      </c>
      <c r="B181" s="5" t="s">
        <v>3</v>
      </c>
      <c r="C181" s="5" t="s">
        <v>1235</v>
      </c>
      <c r="D181" s="6">
        <v>119.12</v>
      </c>
      <c r="E181" s="6">
        <v>0</v>
      </c>
      <c r="F181" s="6">
        <f>D181+E181</f>
        <v>119.12</v>
      </c>
      <c r="G181" s="5" t="s">
        <v>3</v>
      </c>
      <c r="H181" s="5" t="s">
        <v>3</v>
      </c>
    </row>
    <row r="182" spans="1:8" x14ac:dyDescent="0.25">
      <c r="A182" s="24" t="s">
        <v>408</v>
      </c>
      <c r="B182" s="24" t="s">
        <v>409</v>
      </c>
      <c r="C182" s="24" t="s">
        <v>499</v>
      </c>
      <c r="D182" s="27">
        <f>SUM(D183:D184)</f>
        <v>183.45</v>
      </c>
      <c r="E182" s="27">
        <f>SUM(E183:E184)</f>
        <v>0</v>
      </c>
      <c r="F182" s="27">
        <f>SUM(F183:F184)</f>
        <v>183.45</v>
      </c>
      <c r="G182" s="24" t="s">
        <v>3</v>
      </c>
      <c r="H182" s="24" t="s">
        <v>3</v>
      </c>
    </row>
    <row r="183" spans="1:8" x14ac:dyDescent="0.25">
      <c r="A183" s="5" t="s">
        <v>3</v>
      </c>
      <c r="B183" s="5" t="s">
        <v>3</v>
      </c>
      <c r="C183" s="5" t="s">
        <v>1236</v>
      </c>
      <c r="D183" s="6">
        <v>148.5</v>
      </c>
      <c r="E183" s="6">
        <v>0</v>
      </c>
      <c r="F183" s="6">
        <f>D183+E183</f>
        <v>148.5</v>
      </c>
      <c r="G183" s="5" t="s">
        <v>3</v>
      </c>
      <c r="H183" s="5" t="s">
        <v>3</v>
      </c>
    </row>
    <row r="184" spans="1:8" x14ac:dyDescent="0.25">
      <c r="A184" s="5" t="s">
        <v>3</v>
      </c>
      <c r="B184" s="5" t="s">
        <v>3</v>
      </c>
      <c r="C184" s="5" t="s">
        <v>1237</v>
      </c>
      <c r="D184" s="6">
        <v>34.95</v>
      </c>
      <c r="E184" s="6">
        <v>0</v>
      </c>
      <c r="F184" s="6">
        <f>D184+E184</f>
        <v>34.95</v>
      </c>
      <c r="G184" s="5" t="s">
        <v>3</v>
      </c>
      <c r="H184" s="5" t="s">
        <v>3</v>
      </c>
    </row>
    <row r="185" spans="1:8" x14ac:dyDescent="0.25">
      <c r="A185" s="24" t="s">
        <v>410</v>
      </c>
      <c r="B185" s="24" t="s">
        <v>411</v>
      </c>
      <c r="C185" s="24" t="s">
        <v>499</v>
      </c>
      <c r="D185" s="27">
        <f>SUM(D186:D189)</f>
        <v>450.08</v>
      </c>
      <c r="E185" s="27">
        <f>SUM(E186:E189)</f>
        <v>0</v>
      </c>
      <c r="F185" s="27">
        <f>SUM(F186:F189)</f>
        <v>450.08</v>
      </c>
      <c r="G185" s="24" t="s">
        <v>3</v>
      </c>
      <c r="H185" s="24" t="s">
        <v>3</v>
      </c>
    </row>
    <row r="186" spans="1:8" x14ac:dyDescent="0.25">
      <c r="A186" s="5" t="s">
        <v>3</v>
      </c>
      <c r="B186" s="5" t="s">
        <v>3</v>
      </c>
      <c r="C186" s="5" t="s">
        <v>1238</v>
      </c>
      <c r="D186" s="6">
        <v>319.9</v>
      </c>
      <c r="E186" s="6">
        <v>0</v>
      </c>
      <c r="F186" s="6">
        <f>D186+E186</f>
        <v>319.9</v>
      </c>
      <c r="G186" s="5" t="s">
        <v>3</v>
      </c>
      <c r="H186" s="5" t="s">
        <v>3</v>
      </c>
    </row>
    <row r="187" spans="1:8" x14ac:dyDescent="0.25">
      <c r="A187" s="5" t="s">
        <v>3</v>
      </c>
      <c r="B187" s="5" t="s">
        <v>3</v>
      </c>
      <c r="C187" s="5" t="s">
        <v>1239</v>
      </c>
      <c r="D187" s="6">
        <v>64.98</v>
      </c>
      <c r="E187" s="6">
        <v>0</v>
      </c>
      <c r="F187" s="6">
        <f>D187+E187</f>
        <v>64.98</v>
      </c>
      <c r="G187" s="5" t="s">
        <v>3</v>
      </c>
      <c r="H187" s="5" t="s">
        <v>3</v>
      </c>
    </row>
    <row r="188" spans="1:8" x14ac:dyDescent="0.25">
      <c r="A188" s="5" t="s">
        <v>3</v>
      </c>
      <c r="B188" s="5" t="s">
        <v>3</v>
      </c>
      <c r="C188" s="5" t="s">
        <v>1146</v>
      </c>
      <c r="D188" s="6">
        <v>55.8</v>
      </c>
      <c r="E188" s="6">
        <v>0</v>
      </c>
      <c r="F188" s="6">
        <f>D188+E188</f>
        <v>55.8</v>
      </c>
      <c r="G188" s="5" t="s">
        <v>3</v>
      </c>
      <c r="H188" s="5" t="s">
        <v>3</v>
      </c>
    </row>
    <row r="189" spans="1:8" x14ac:dyDescent="0.25">
      <c r="A189" s="5" t="s">
        <v>3</v>
      </c>
      <c r="B189" s="5" t="s">
        <v>3</v>
      </c>
      <c r="C189" s="5" t="s">
        <v>1240</v>
      </c>
      <c r="D189" s="6">
        <v>9.4</v>
      </c>
      <c r="E189" s="6">
        <v>0</v>
      </c>
      <c r="F189" s="6">
        <f>D189+E189</f>
        <v>9.4</v>
      </c>
      <c r="G189" s="5" t="s">
        <v>3</v>
      </c>
      <c r="H189" s="5" t="s">
        <v>3</v>
      </c>
    </row>
    <row r="190" spans="1:8" x14ac:dyDescent="0.25">
      <c r="A190" s="24" t="s">
        <v>414</v>
      </c>
      <c r="B190" s="24" t="s">
        <v>415</v>
      </c>
      <c r="C190" s="24" t="s">
        <v>499</v>
      </c>
      <c r="D190" s="27">
        <f>SUM(D191:D193)</f>
        <v>4018.9</v>
      </c>
      <c r="E190" s="27">
        <f>SUM(E191:E193)</f>
        <v>0</v>
      </c>
      <c r="F190" s="27">
        <f>SUM(F191:F193)</f>
        <v>4018.9</v>
      </c>
      <c r="G190" s="24" t="s">
        <v>3</v>
      </c>
      <c r="H190" s="24" t="s">
        <v>3</v>
      </c>
    </row>
    <row r="191" spans="1:8" x14ac:dyDescent="0.25">
      <c r="A191" s="5" t="s">
        <v>3</v>
      </c>
      <c r="B191" s="5" t="s">
        <v>3</v>
      </c>
      <c r="C191" s="5" t="s">
        <v>598</v>
      </c>
      <c r="D191" s="6">
        <v>2105.64</v>
      </c>
      <c r="E191" s="6">
        <v>0</v>
      </c>
      <c r="F191" s="6">
        <f>D191+E191</f>
        <v>2105.64</v>
      </c>
      <c r="G191" s="5" t="s">
        <v>3</v>
      </c>
      <c r="H191" s="5" t="s">
        <v>3</v>
      </c>
    </row>
    <row r="192" spans="1:8" x14ac:dyDescent="0.25">
      <c r="A192" s="5" t="s">
        <v>3</v>
      </c>
      <c r="B192" s="5" t="s">
        <v>3</v>
      </c>
      <c r="C192" s="5" t="s">
        <v>1241</v>
      </c>
      <c r="D192" s="6">
        <v>1000</v>
      </c>
      <c r="E192" s="6">
        <v>0</v>
      </c>
      <c r="F192" s="6">
        <f>D192+E192</f>
        <v>1000</v>
      </c>
      <c r="G192" s="5" t="s">
        <v>3</v>
      </c>
      <c r="H192" s="5" t="s">
        <v>3</v>
      </c>
    </row>
    <row r="193" spans="1:8" x14ac:dyDescent="0.25">
      <c r="A193" s="5" t="s">
        <v>3</v>
      </c>
      <c r="B193" s="5" t="s">
        <v>3</v>
      </c>
      <c r="C193" s="5" t="s">
        <v>862</v>
      </c>
      <c r="D193" s="6">
        <v>913.26</v>
      </c>
      <c r="E193" s="6">
        <v>0</v>
      </c>
      <c r="F193" s="6">
        <f>D193+E193</f>
        <v>913.26</v>
      </c>
      <c r="G193" s="5" t="s">
        <v>3</v>
      </c>
      <c r="H193" s="5" t="s">
        <v>3</v>
      </c>
    </row>
    <row r="194" spans="1:8" x14ac:dyDescent="0.25">
      <c r="A194" s="24" t="s">
        <v>418</v>
      </c>
      <c r="B194" s="24" t="s">
        <v>419</v>
      </c>
      <c r="C194" s="24" t="s">
        <v>499</v>
      </c>
      <c r="D194" s="27">
        <f>SUM(D195:D199)</f>
        <v>8649.77</v>
      </c>
      <c r="E194" s="27">
        <f>SUM(E195:E199)</f>
        <v>0</v>
      </c>
      <c r="F194" s="27">
        <f>SUM(F195:F199)</f>
        <v>8649.77</v>
      </c>
      <c r="G194" s="24" t="s">
        <v>3</v>
      </c>
      <c r="H194" s="24" t="s">
        <v>3</v>
      </c>
    </row>
    <row r="195" spans="1:8" x14ac:dyDescent="0.25">
      <c r="A195" s="5" t="s">
        <v>3</v>
      </c>
      <c r="B195" s="5" t="s">
        <v>3</v>
      </c>
      <c r="C195" s="5" t="s">
        <v>1242</v>
      </c>
      <c r="D195" s="6">
        <v>6774.19</v>
      </c>
      <c r="E195" s="6">
        <v>0</v>
      </c>
      <c r="F195" s="6">
        <f>D195+E195</f>
        <v>6774.19</v>
      </c>
      <c r="G195" s="5" t="s">
        <v>3</v>
      </c>
      <c r="H195" s="5" t="s">
        <v>3</v>
      </c>
    </row>
    <row r="196" spans="1:8" x14ac:dyDescent="0.25">
      <c r="A196" s="5" t="s">
        <v>3</v>
      </c>
      <c r="B196" s="5" t="s">
        <v>3</v>
      </c>
      <c r="C196" s="5" t="s">
        <v>1243</v>
      </c>
      <c r="D196" s="6">
        <v>876.73</v>
      </c>
      <c r="E196" s="6">
        <v>0</v>
      </c>
      <c r="F196" s="6">
        <f>D196+E196</f>
        <v>876.73</v>
      </c>
      <c r="G196" s="5" t="s">
        <v>3</v>
      </c>
      <c r="H196" s="5" t="s">
        <v>3</v>
      </c>
    </row>
    <row r="197" spans="1:8" x14ac:dyDescent="0.25">
      <c r="A197" s="5" t="s">
        <v>3</v>
      </c>
      <c r="B197" s="5" t="s">
        <v>3</v>
      </c>
      <c r="C197" s="5" t="s">
        <v>1244</v>
      </c>
      <c r="D197" s="6">
        <v>629.9</v>
      </c>
      <c r="E197" s="6">
        <v>0</v>
      </c>
      <c r="F197" s="6">
        <f>D197+E197</f>
        <v>629.9</v>
      </c>
      <c r="G197" s="5" t="s">
        <v>3</v>
      </c>
      <c r="H197" s="5" t="s">
        <v>3</v>
      </c>
    </row>
    <row r="198" spans="1:8" x14ac:dyDescent="0.25">
      <c r="A198" s="5" t="s">
        <v>3</v>
      </c>
      <c r="B198" s="5" t="s">
        <v>3</v>
      </c>
      <c r="C198" s="5" t="s">
        <v>1245</v>
      </c>
      <c r="D198" s="6">
        <v>259</v>
      </c>
      <c r="E198" s="6">
        <v>0</v>
      </c>
      <c r="F198" s="6">
        <f>D198+E198</f>
        <v>259</v>
      </c>
      <c r="G198" s="5" t="s">
        <v>3</v>
      </c>
      <c r="H198" s="5" t="s">
        <v>3</v>
      </c>
    </row>
    <row r="199" spans="1:8" x14ac:dyDescent="0.25">
      <c r="A199" s="5" t="s">
        <v>3</v>
      </c>
      <c r="B199" s="5" t="s">
        <v>3</v>
      </c>
      <c r="C199" s="5" t="s">
        <v>1246</v>
      </c>
      <c r="D199" s="6">
        <v>109.95</v>
      </c>
      <c r="E199" s="6">
        <v>0</v>
      </c>
      <c r="F199" s="6">
        <f>D199+E199</f>
        <v>109.95</v>
      </c>
      <c r="G199" s="5" t="s">
        <v>3</v>
      </c>
      <c r="H199" s="5" t="s">
        <v>3</v>
      </c>
    </row>
    <row r="200" spans="1:8" x14ac:dyDescent="0.25">
      <c r="A200" s="24" t="s">
        <v>422</v>
      </c>
      <c r="B200" s="24" t="s">
        <v>423</v>
      </c>
      <c r="C200" s="24" t="s">
        <v>499</v>
      </c>
      <c r="D200" s="27">
        <f>SUM(D201:D202)</f>
        <v>995.26</v>
      </c>
      <c r="E200" s="27">
        <f>SUM(E201:E202)</f>
        <v>0</v>
      </c>
      <c r="F200" s="27">
        <f>SUM(F201:F202)</f>
        <v>995.26</v>
      </c>
      <c r="G200" s="24" t="s">
        <v>3</v>
      </c>
      <c r="H200" s="24" t="s">
        <v>3</v>
      </c>
    </row>
    <row r="201" spans="1:8" x14ac:dyDescent="0.25">
      <c r="A201" s="5" t="s">
        <v>3</v>
      </c>
      <c r="B201" s="5" t="s">
        <v>3</v>
      </c>
      <c r="C201" s="5" t="s">
        <v>1247</v>
      </c>
      <c r="D201" s="6">
        <v>1400</v>
      </c>
      <c r="E201" s="6">
        <v>0</v>
      </c>
      <c r="F201" s="6">
        <f>D201+E201</f>
        <v>1400</v>
      </c>
      <c r="G201" s="5" t="s">
        <v>3</v>
      </c>
      <c r="H201" s="5" t="s">
        <v>3</v>
      </c>
    </row>
    <row r="202" spans="1:8" x14ac:dyDescent="0.25">
      <c r="A202" s="5" t="s">
        <v>3</v>
      </c>
      <c r="B202" s="5" t="s">
        <v>3</v>
      </c>
      <c r="C202" s="5" t="s">
        <v>1077</v>
      </c>
      <c r="D202" s="6">
        <v>-404.74</v>
      </c>
      <c r="E202" s="6">
        <v>0</v>
      </c>
      <c r="F202" s="6">
        <f>D202+E202</f>
        <v>-404.74</v>
      </c>
      <c r="G202" s="5" t="s">
        <v>3</v>
      </c>
      <c r="H202" s="5" t="s">
        <v>3</v>
      </c>
    </row>
    <row r="203" spans="1:8" x14ac:dyDescent="0.25">
      <c r="A203" s="24" t="s">
        <v>424</v>
      </c>
      <c r="B203" s="24" t="s">
        <v>425</v>
      </c>
      <c r="C203" s="24" t="s">
        <v>499</v>
      </c>
      <c r="D203" s="27">
        <f>SUM(D204:D204)</f>
        <v>1057894.17</v>
      </c>
      <c r="E203" s="27">
        <f>SUM(E204:E204)</f>
        <v>0</v>
      </c>
      <c r="F203" s="27">
        <f>SUM(F204:F204)</f>
        <v>1057894.17</v>
      </c>
      <c r="G203" s="24" t="s">
        <v>3</v>
      </c>
      <c r="H203" s="24" t="s">
        <v>3</v>
      </c>
    </row>
    <row r="204" spans="1:8" x14ac:dyDescent="0.25">
      <c r="A204" s="5" t="s">
        <v>3</v>
      </c>
      <c r="B204" s="5" t="s">
        <v>3</v>
      </c>
      <c r="C204" s="5" t="s">
        <v>657</v>
      </c>
      <c r="D204" s="6">
        <v>1057894.17</v>
      </c>
      <c r="E204" s="6">
        <v>0</v>
      </c>
      <c r="F204" s="6">
        <f>D204+E204</f>
        <v>1057894.17</v>
      </c>
      <c r="G204" s="5" t="s">
        <v>3</v>
      </c>
      <c r="H204" s="5" t="s">
        <v>3</v>
      </c>
    </row>
    <row r="205" spans="1:8" x14ac:dyDescent="0.25">
      <c r="A205" s="24" t="s">
        <v>426</v>
      </c>
      <c r="B205" s="24" t="s">
        <v>427</v>
      </c>
      <c r="C205" s="24" t="s">
        <v>499</v>
      </c>
      <c r="D205" s="27">
        <f>SUM(D206:D206)</f>
        <v>732474.29</v>
      </c>
      <c r="E205" s="27">
        <f>SUM(E206:E206)</f>
        <v>0</v>
      </c>
      <c r="F205" s="27">
        <f>SUM(F206:F206)</f>
        <v>732474.29</v>
      </c>
      <c r="G205" s="24" t="s">
        <v>3</v>
      </c>
      <c r="H205" s="24" t="s">
        <v>3</v>
      </c>
    </row>
    <row r="206" spans="1:8" x14ac:dyDescent="0.25">
      <c r="A206" s="5" t="s">
        <v>3</v>
      </c>
      <c r="B206" s="5" t="s">
        <v>3</v>
      </c>
      <c r="C206" s="5" t="s">
        <v>658</v>
      </c>
      <c r="D206" s="6">
        <v>732474.29</v>
      </c>
      <c r="E206" s="6">
        <v>0</v>
      </c>
      <c r="F206" s="6">
        <f>D206+E206</f>
        <v>732474.29</v>
      </c>
      <c r="G206" s="5" t="s">
        <v>3</v>
      </c>
      <c r="H206" s="5" t="s">
        <v>3</v>
      </c>
    </row>
    <row r="207" spans="1:8" x14ac:dyDescent="0.25">
      <c r="A207" s="24" t="s">
        <v>430</v>
      </c>
      <c r="B207" s="24" t="s">
        <v>431</v>
      </c>
      <c r="C207" s="24" t="s">
        <v>499</v>
      </c>
      <c r="D207" s="27">
        <f>SUM(D208:D218)</f>
        <v>33854.5</v>
      </c>
      <c r="E207" s="27">
        <f>SUM(E208:E218)</f>
        <v>0</v>
      </c>
      <c r="F207" s="27">
        <f>SUM(F208:F218)</f>
        <v>33854.5</v>
      </c>
      <c r="G207" s="24" t="s">
        <v>3</v>
      </c>
      <c r="H207" s="24" t="s">
        <v>3</v>
      </c>
    </row>
    <row r="208" spans="1:8" x14ac:dyDescent="0.25">
      <c r="A208" s="5" t="s">
        <v>3</v>
      </c>
      <c r="B208" s="5" t="s">
        <v>3</v>
      </c>
      <c r="C208" s="5" t="s">
        <v>90</v>
      </c>
      <c r="D208" s="6">
        <v>27500</v>
      </c>
      <c r="E208" s="6">
        <v>0</v>
      </c>
      <c r="F208" s="6">
        <f>D208+E208</f>
        <v>27500</v>
      </c>
      <c r="G208" s="5" t="s">
        <v>3</v>
      </c>
      <c r="H208" s="5" t="s">
        <v>3</v>
      </c>
    </row>
    <row r="209" spans="1:8" x14ac:dyDescent="0.25">
      <c r="A209" s="5" t="s">
        <v>3</v>
      </c>
      <c r="B209" s="5" t="s">
        <v>3</v>
      </c>
      <c r="C209" s="5" t="s">
        <v>114</v>
      </c>
      <c r="D209" s="6">
        <v>-25000</v>
      </c>
      <c r="E209" s="6">
        <v>0</v>
      </c>
      <c r="F209" s="6">
        <f>D209+E209</f>
        <v>-25000</v>
      </c>
      <c r="G209" s="5" t="s">
        <v>3</v>
      </c>
      <c r="H209" s="5" t="s">
        <v>3</v>
      </c>
    </row>
    <row r="210" spans="1:8" x14ac:dyDescent="0.25">
      <c r="A210" s="5" t="s">
        <v>3</v>
      </c>
      <c r="B210" s="5" t="s">
        <v>3</v>
      </c>
      <c r="C210" s="5" t="s">
        <v>55</v>
      </c>
      <c r="D210" s="6">
        <v>20000</v>
      </c>
      <c r="E210" s="6">
        <v>0</v>
      </c>
      <c r="F210" s="6">
        <f>D210+E210</f>
        <v>20000</v>
      </c>
      <c r="G210" s="5" t="s">
        <v>3</v>
      </c>
      <c r="H210" s="5" t="s">
        <v>3</v>
      </c>
    </row>
    <row r="211" spans="1:8" x14ac:dyDescent="0.25">
      <c r="A211" s="5" t="s">
        <v>3</v>
      </c>
      <c r="B211" s="5" t="s">
        <v>3</v>
      </c>
      <c r="C211" s="5" t="s">
        <v>1248</v>
      </c>
      <c r="D211" s="6">
        <v>6200</v>
      </c>
      <c r="E211" s="6">
        <v>0</v>
      </c>
      <c r="F211" s="6">
        <f>D211+E211</f>
        <v>6200</v>
      </c>
      <c r="G211" s="5" t="s">
        <v>3</v>
      </c>
      <c r="H211" s="5" t="s">
        <v>3</v>
      </c>
    </row>
    <row r="212" spans="1:8" x14ac:dyDescent="0.25">
      <c r="A212" s="5" t="s">
        <v>3</v>
      </c>
      <c r="B212" s="5" t="s">
        <v>3</v>
      </c>
      <c r="C212" s="5" t="s">
        <v>58</v>
      </c>
      <c r="D212" s="6">
        <v>3500</v>
      </c>
      <c r="E212" s="6">
        <v>0</v>
      </c>
      <c r="F212" s="6">
        <f>D212+E212</f>
        <v>3500</v>
      </c>
      <c r="G212" s="5" t="s">
        <v>3</v>
      </c>
      <c r="H212" s="5" t="s">
        <v>1249</v>
      </c>
    </row>
    <row r="213" spans="1:8" x14ac:dyDescent="0.25">
      <c r="A213" s="5" t="s">
        <v>3</v>
      </c>
      <c r="B213" s="5" t="s">
        <v>3</v>
      </c>
      <c r="C213" s="5" t="s">
        <v>64</v>
      </c>
      <c r="D213" s="6">
        <v>1000</v>
      </c>
      <c r="E213" s="6">
        <v>0</v>
      </c>
      <c r="F213" s="6">
        <f>D213+E213</f>
        <v>1000</v>
      </c>
      <c r="G213" s="5" t="s">
        <v>3</v>
      </c>
      <c r="H213" s="5" t="s">
        <v>3</v>
      </c>
    </row>
    <row r="214" spans="1:8" x14ac:dyDescent="0.25">
      <c r="A214" s="5" t="s">
        <v>3</v>
      </c>
      <c r="B214" s="5" t="s">
        <v>3</v>
      </c>
      <c r="C214" s="5" t="s">
        <v>62</v>
      </c>
      <c r="D214" s="6">
        <v>400</v>
      </c>
      <c r="E214" s="6">
        <v>0</v>
      </c>
      <c r="F214" s="6">
        <f>D214+E214</f>
        <v>400</v>
      </c>
      <c r="G214" s="5" t="s">
        <v>3</v>
      </c>
      <c r="H214" s="5" t="s">
        <v>3</v>
      </c>
    </row>
    <row r="215" spans="1:8" x14ac:dyDescent="0.25">
      <c r="A215" s="5" t="s">
        <v>3</v>
      </c>
      <c r="B215" s="5" t="s">
        <v>3</v>
      </c>
      <c r="C215" s="5" t="s">
        <v>1250</v>
      </c>
      <c r="D215" s="6">
        <v>200</v>
      </c>
      <c r="E215" s="6">
        <v>0</v>
      </c>
      <c r="F215" s="6">
        <f>D215+E215</f>
        <v>200</v>
      </c>
      <c r="G215" s="5" t="s">
        <v>3</v>
      </c>
      <c r="H215" s="5" t="s">
        <v>3</v>
      </c>
    </row>
    <row r="216" spans="1:8" x14ac:dyDescent="0.25">
      <c r="A216" s="5" t="s">
        <v>3</v>
      </c>
      <c r="B216" s="5" t="s">
        <v>3</v>
      </c>
      <c r="C216" s="5" t="s">
        <v>1251</v>
      </c>
      <c r="D216" s="6">
        <v>-145.5</v>
      </c>
      <c r="E216" s="6">
        <v>0</v>
      </c>
      <c r="F216" s="6">
        <f>D216+E216</f>
        <v>-145.5</v>
      </c>
      <c r="G216" s="5" t="s">
        <v>3</v>
      </c>
      <c r="H216" s="5" t="s">
        <v>3</v>
      </c>
    </row>
    <row r="217" spans="1:8" x14ac:dyDescent="0.25">
      <c r="A217" s="5" t="s">
        <v>3</v>
      </c>
      <c r="B217" s="5" t="s">
        <v>3</v>
      </c>
      <c r="C217" s="5" t="s">
        <v>849</v>
      </c>
      <c r="D217" s="6">
        <v>100</v>
      </c>
      <c r="E217" s="6">
        <v>0</v>
      </c>
      <c r="F217" s="6">
        <f>D217+E217</f>
        <v>100</v>
      </c>
      <c r="G217" s="5" t="s">
        <v>3</v>
      </c>
      <c r="H217" s="5" t="s">
        <v>3</v>
      </c>
    </row>
    <row r="218" spans="1:8" x14ac:dyDescent="0.25">
      <c r="A218" s="5" t="s">
        <v>3</v>
      </c>
      <c r="B218" s="5" t="s">
        <v>3</v>
      </c>
      <c r="C218" s="5" t="s">
        <v>848</v>
      </c>
      <c r="D218" s="6">
        <v>100</v>
      </c>
      <c r="E218" s="6">
        <v>0</v>
      </c>
      <c r="F218" s="6">
        <f>D218+E218</f>
        <v>100</v>
      </c>
      <c r="G218" s="5" t="s">
        <v>3</v>
      </c>
      <c r="H218" s="5" t="s">
        <v>3</v>
      </c>
    </row>
    <row r="219" spans="1:8" x14ac:dyDescent="0.25">
      <c r="A219" s="24" t="s">
        <v>434</v>
      </c>
      <c r="B219" s="24" t="s">
        <v>435</v>
      </c>
      <c r="C219" s="24" t="s">
        <v>499</v>
      </c>
      <c r="D219" s="27">
        <f>SUM(D220:D220)</f>
        <v>28.98</v>
      </c>
      <c r="E219" s="27">
        <f>SUM(E220:E220)</f>
        <v>0</v>
      </c>
      <c r="F219" s="27">
        <f>SUM(F220:F220)</f>
        <v>28.98</v>
      </c>
      <c r="G219" s="24" t="s">
        <v>3</v>
      </c>
      <c r="H219" s="24" t="s">
        <v>3</v>
      </c>
    </row>
    <row r="220" spans="1:8" x14ac:dyDescent="0.25">
      <c r="A220" s="5" t="s">
        <v>3</v>
      </c>
      <c r="B220" s="5" t="s">
        <v>3</v>
      </c>
      <c r="C220" s="5" t="s">
        <v>1001</v>
      </c>
      <c r="D220" s="6">
        <v>28.98</v>
      </c>
      <c r="E220" s="6">
        <v>0</v>
      </c>
      <c r="F220" s="6">
        <f>D220+E220</f>
        <v>28.98</v>
      </c>
      <c r="G220" s="5" t="s">
        <v>3</v>
      </c>
      <c r="H220" s="5" t="s">
        <v>3</v>
      </c>
    </row>
    <row r="221" spans="1:8" x14ac:dyDescent="0.25">
      <c r="A221" s="24" t="s">
        <v>436</v>
      </c>
      <c r="B221" s="24" t="s">
        <v>437</v>
      </c>
      <c r="C221" s="24" t="s">
        <v>499</v>
      </c>
      <c r="D221" s="27">
        <f>SUM(D222:D222)</f>
        <v>256.16</v>
      </c>
      <c r="E221" s="27">
        <f>SUM(E222:E222)</f>
        <v>0</v>
      </c>
      <c r="F221" s="27">
        <f>SUM(F222:F222)</f>
        <v>256.16</v>
      </c>
      <c r="G221" s="24" t="s">
        <v>3</v>
      </c>
      <c r="H221" s="24" t="s">
        <v>3</v>
      </c>
    </row>
    <row r="222" spans="1:8" x14ac:dyDescent="0.25">
      <c r="A222" s="5" t="s">
        <v>3</v>
      </c>
      <c r="B222" s="5" t="s">
        <v>3</v>
      </c>
      <c r="C222" s="5" t="s">
        <v>595</v>
      </c>
      <c r="D222" s="6">
        <v>256.16</v>
      </c>
      <c r="E222" s="6">
        <v>0</v>
      </c>
      <c r="F222" s="6">
        <f>D222+E222</f>
        <v>256.16</v>
      </c>
      <c r="G222" s="5" t="s">
        <v>3</v>
      </c>
      <c r="H222" s="5" t="s">
        <v>3</v>
      </c>
    </row>
    <row r="223" spans="1:8" x14ac:dyDescent="0.25">
      <c r="A223" s="24" t="s">
        <v>446</v>
      </c>
      <c r="B223" s="24" t="s">
        <v>447</v>
      </c>
      <c r="C223" s="24" t="s">
        <v>499</v>
      </c>
      <c r="D223" s="27">
        <f>SUM(D224:D224)</f>
        <v>3860</v>
      </c>
      <c r="E223" s="27">
        <f>SUM(E224:E224)</f>
        <v>0</v>
      </c>
      <c r="F223" s="27">
        <f>SUM(F224:F224)</f>
        <v>3860</v>
      </c>
      <c r="G223" s="24" t="s">
        <v>3</v>
      </c>
      <c r="H223" s="24" t="s">
        <v>3</v>
      </c>
    </row>
    <row r="224" spans="1:8" x14ac:dyDescent="0.25">
      <c r="A224" s="5" t="s">
        <v>3</v>
      </c>
      <c r="B224" s="5" t="s">
        <v>3</v>
      </c>
      <c r="C224" s="5" t="s">
        <v>1252</v>
      </c>
      <c r="D224" s="6">
        <v>3860</v>
      </c>
      <c r="E224" s="6">
        <v>0</v>
      </c>
      <c r="F224" s="6">
        <f>D224+E224</f>
        <v>3860</v>
      </c>
      <c r="G224" s="5" t="s">
        <v>3</v>
      </c>
      <c r="H224" s="5" t="s">
        <v>3</v>
      </c>
    </row>
    <row r="225" spans="1:8" x14ac:dyDescent="0.25">
      <c r="A225" s="24" t="s">
        <v>448</v>
      </c>
      <c r="B225" s="24" t="s">
        <v>449</v>
      </c>
      <c r="C225" s="24" t="s">
        <v>499</v>
      </c>
      <c r="D225" s="27">
        <f>SUM(D226:D226)</f>
        <v>662.05</v>
      </c>
      <c r="E225" s="27">
        <f>SUM(E226:E226)</f>
        <v>0</v>
      </c>
      <c r="F225" s="27">
        <f>SUM(F226:F226)</f>
        <v>662.05</v>
      </c>
      <c r="G225" s="24" t="s">
        <v>3</v>
      </c>
      <c r="H225" s="24" t="s">
        <v>3</v>
      </c>
    </row>
    <row r="226" spans="1:8" x14ac:dyDescent="0.25">
      <c r="A226" s="5" t="s">
        <v>3</v>
      </c>
      <c r="B226" s="5" t="s">
        <v>3</v>
      </c>
      <c r="C226" s="5" t="s">
        <v>853</v>
      </c>
      <c r="D226" s="6">
        <v>662.05</v>
      </c>
      <c r="E226" s="6">
        <v>0</v>
      </c>
      <c r="F226" s="6">
        <f>D226+E226</f>
        <v>662.05</v>
      </c>
      <c r="G226" s="5" t="s">
        <v>3</v>
      </c>
      <c r="H226" s="5" t="s">
        <v>3</v>
      </c>
    </row>
    <row r="227" spans="1:8" x14ac:dyDescent="0.25">
      <c r="A227" s="24" t="s">
        <v>450</v>
      </c>
      <c r="B227" s="24" t="s">
        <v>451</v>
      </c>
      <c r="C227" s="24" t="s">
        <v>499</v>
      </c>
      <c r="D227" s="27">
        <f>SUM(D228:D228)</f>
        <v>13309.18</v>
      </c>
      <c r="E227" s="27">
        <f>SUM(E228:E228)</f>
        <v>0</v>
      </c>
      <c r="F227" s="27">
        <f>SUM(F228:F228)</f>
        <v>13309.18</v>
      </c>
      <c r="G227" s="24" t="s">
        <v>3</v>
      </c>
      <c r="H227" s="24" t="s">
        <v>3</v>
      </c>
    </row>
    <row r="228" spans="1:8" x14ac:dyDescent="0.25">
      <c r="A228" s="5" t="s">
        <v>3</v>
      </c>
      <c r="B228" s="5" t="s">
        <v>3</v>
      </c>
      <c r="C228" s="5" t="s">
        <v>666</v>
      </c>
      <c r="D228" s="6">
        <v>13309.18</v>
      </c>
      <c r="E228" s="6">
        <v>0</v>
      </c>
      <c r="F228" s="6">
        <f>D228+E228</f>
        <v>13309.18</v>
      </c>
      <c r="G228" s="5" t="s">
        <v>3</v>
      </c>
      <c r="H228" s="5" t="s">
        <v>3</v>
      </c>
    </row>
    <row r="229" spans="1:8" x14ac:dyDescent="0.25">
      <c r="A229" s="24" t="s">
        <v>452</v>
      </c>
      <c r="B229" s="24" t="s">
        <v>453</v>
      </c>
      <c r="C229" s="24" t="s">
        <v>499</v>
      </c>
      <c r="D229" s="27">
        <f>SUM(D230:D231)</f>
        <v>-5415.32</v>
      </c>
      <c r="E229" s="27">
        <f>SUM(E230:E231)</f>
        <v>0</v>
      </c>
      <c r="F229" s="27">
        <f>SUM(F230:F231)</f>
        <v>-5415.32</v>
      </c>
      <c r="G229" s="24" t="s">
        <v>3</v>
      </c>
      <c r="H229" s="24" t="s">
        <v>3</v>
      </c>
    </row>
    <row r="230" spans="1:8" x14ac:dyDescent="0.25">
      <c r="A230" s="5" t="s">
        <v>3</v>
      </c>
      <c r="B230" s="5" t="s">
        <v>3</v>
      </c>
      <c r="C230" s="5" t="s">
        <v>1253</v>
      </c>
      <c r="D230" s="6">
        <v>-15331.32</v>
      </c>
      <c r="E230" s="6">
        <v>0</v>
      </c>
      <c r="F230" s="6">
        <f>D230+E230</f>
        <v>-15331.32</v>
      </c>
      <c r="G230" s="5" t="s">
        <v>3</v>
      </c>
      <c r="H230" s="5" t="s">
        <v>1254</v>
      </c>
    </row>
    <row r="231" spans="1:8" x14ac:dyDescent="0.25">
      <c r="A231" s="5" t="s">
        <v>3</v>
      </c>
      <c r="B231" s="5" t="s">
        <v>3</v>
      </c>
      <c r="C231" s="5" t="s">
        <v>669</v>
      </c>
      <c r="D231" s="6">
        <v>9916</v>
      </c>
      <c r="E231" s="6">
        <v>0</v>
      </c>
      <c r="F231" s="6">
        <f>D231+E231</f>
        <v>9916</v>
      </c>
      <c r="G231" s="5" t="s">
        <v>3</v>
      </c>
      <c r="H231" s="5" t="s">
        <v>3</v>
      </c>
    </row>
    <row r="232" spans="1:8" x14ac:dyDescent="0.25">
      <c r="A232" s="24" t="s">
        <v>454</v>
      </c>
      <c r="B232" s="24" t="s">
        <v>455</v>
      </c>
      <c r="C232" s="24" t="s">
        <v>499</v>
      </c>
      <c r="D232" s="27">
        <f>SUM(D233:D234)</f>
        <v>12133.4</v>
      </c>
      <c r="E232" s="27">
        <f>SUM(E233:E234)</f>
        <v>-573.4</v>
      </c>
      <c r="F232" s="27">
        <f>SUM(F233:F234)</f>
        <v>11560</v>
      </c>
      <c r="G232" s="24" t="s">
        <v>3</v>
      </c>
      <c r="H232" s="24" t="s">
        <v>3</v>
      </c>
    </row>
    <row r="233" spans="1:8" x14ac:dyDescent="0.25">
      <c r="A233" s="5" t="s">
        <v>3</v>
      </c>
      <c r="B233" s="5" t="s">
        <v>3</v>
      </c>
      <c r="C233" s="5" t="s">
        <v>248</v>
      </c>
      <c r="D233" s="6">
        <v>2573.4</v>
      </c>
      <c r="E233" s="28">
        <v>-573.4</v>
      </c>
      <c r="F233" s="6">
        <f>D233+E233</f>
        <v>2000</v>
      </c>
      <c r="G233" s="22" t="s">
        <v>1255</v>
      </c>
      <c r="H233" s="5" t="s">
        <v>3</v>
      </c>
    </row>
    <row r="234" spans="1:8" x14ac:dyDescent="0.25">
      <c r="A234" s="5" t="s">
        <v>3</v>
      </c>
      <c r="B234" s="5" t="s">
        <v>3</v>
      </c>
      <c r="C234" s="5" t="s">
        <v>670</v>
      </c>
      <c r="D234" s="6">
        <v>9560</v>
      </c>
      <c r="E234" s="6">
        <v>0</v>
      </c>
      <c r="F234" s="6">
        <f>D234+E234</f>
        <v>9560</v>
      </c>
      <c r="G234" s="5" t="s">
        <v>3</v>
      </c>
      <c r="H234" s="5" t="s">
        <v>1256</v>
      </c>
    </row>
    <row r="235" spans="1:8" x14ac:dyDescent="0.25">
      <c r="A235" s="24" t="s">
        <v>456</v>
      </c>
      <c r="B235" s="24" t="s">
        <v>457</v>
      </c>
      <c r="C235" s="24" t="s">
        <v>499</v>
      </c>
      <c r="D235" s="27">
        <f>SUM(D236:D236)</f>
        <v>7500</v>
      </c>
      <c r="E235" s="27">
        <f>SUM(E236:E236)</f>
        <v>0</v>
      </c>
      <c r="F235" s="27">
        <f>SUM(F236:F236)</f>
        <v>7500</v>
      </c>
      <c r="G235" s="24" t="s">
        <v>3</v>
      </c>
      <c r="H235" s="24" t="s">
        <v>3</v>
      </c>
    </row>
    <row r="236" spans="1:8" x14ac:dyDescent="0.25">
      <c r="A236" s="5" t="s">
        <v>3</v>
      </c>
      <c r="B236" s="5" t="s">
        <v>3</v>
      </c>
      <c r="C236" s="5" t="s">
        <v>671</v>
      </c>
      <c r="D236" s="6">
        <v>7500</v>
      </c>
      <c r="E236" s="6">
        <v>0</v>
      </c>
      <c r="F236" s="6">
        <f>D236+E236</f>
        <v>7500</v>
      </c>
      <c r="G236" s="5" t="s">
        <v>3</v>
      </c>
      <c r="H236" s="5" t="s">
        <v>3</v>
      </c>
    </row>
    <row r="237" spans="1:8" x14ac:dyDescent="0.25">
      <c r="A237" s="24" t="s">
        <v>458</v>
      </c>
      <c r="B237" s="24" t="s">
        <v>459</v>
      </c>
      <c r="C237" s="24" t="s">
        <v>499</v>
      </c>
      <c r="D237" s="27">
        <f>SUM(D238:D308)</f>
        <v>921298.47</v>
      </c>
      <c r="E237" s="27">
        <f>SUM(E238:E308)</f>
        <v>-80267.21</v>
      </c>
      <c r="F237" s="27">
        <f>SUM(F238:F308)</f>
        <v>841031.26</v>
      </c>
      <c r="G237" s="24" t="s">
        <v>3</v>
      </c>
      <c r="H237" s="24" t="s">
        <v>3</v>
      </c>
    </row>
    <row r="238" spans="1:8" x14ac:dyDescent="0.25">
      <c r="A238" s="5" t="s">
        <v>3</v>
      </c>
      <c r="B238" s="5" t="s">
        <v>3</v>
      </c>
      <c r="C238" s="5" t="s">
        <v>273</v>
      </c>
      <c r="D238" s="6">
        <v>-3711.03</v>
      </c>
      <c r="E238" s="29">
        <v>45000</v>
      </c>
      <c r="F238" s="6">
        <f>D238+E238</f>
        <v>41288.97</v>
      </c>
      <c r="G238" s="23" t="s">
        <v>1257</v>
      </c>
      <c r="H238" s="5" t="s">
        <v>1258</v>
      </c>
    </row>
    <row r="239" spans="1:8" x14ac:dyDescent="0.25">
      <c r="A239" s="5" t="s">
        <v>3</v>
      </c>
      <c r="B239" s="5" t="s">
        <v>3</v>
      </c>
      <c r="C239" s="5" t="s">
        <v>136</v>
      </c>
      <c r="D239" s="6">
        <v>40280</v>
      </c>
      <c r="E239" s="14">
        <v>-40280</v>
      </c>
      <c r="F239" s="6">
        <f>D239+E239</f>
        <v>0</v>
      </c>
      <c r="G239" s="15" t="s">
        <v>1173</v>
      </c>
      <c r="H239" s="5" t="s">
        <v>3</v>
      </c>
    </row>
    <row r="240" spans="1:8" x14ac:dyDescent="0.25">
      <c r="A240" s="5" t="s">
        <v>3</v>
      </c>
      <c r="B240" s="5" t="s">
        <v>3</v>
      </c>
      <c r="C240" s="5" t="s">
        <v>126</v>
      </c>
      <c r="D240" s="6">
        <v>30000</v>
      </c>
      <c r="E240" s="14">
        <v>-30000</v>
      </c>
      <c r="F240" s="6">
        <f>D240+E240</f>
        <v>0</v>
      </c>
      <c r="G240" s="15" t="s">
        <v>1174</v>
      </c>
      <c r="H240" s="5" t="s">
        <v>3</v>
      </c>
    </row>
    <row r="241" spans="1:8" x14ac:dyDescent="0.25">
      <c r="A241" s="5" t="s">
        <v>3</v>
      </c>
      <c r="B241" s="5" t="s">
        <v>3</v>
      </c>
      <c r="C241" s="5" t="s">
        <v>128</v>
      </c>
      <c r="D241" s="6">
        <v>26000</v>
      </c>
      <c r="E241" s="14">
        <v>-26000</v>
      </c>
      <c r="F241" s="6">
        <f>D241+E241</f>
        <v>0</v>
      </c>
      <c r="G241" s="15" t="s">
        <v>1175</v>
      </c>
      <c r="H241" s="5" t="s">
        <v>3</v>
      </c>
    </row>
    <row r="242" spans="1:8" x14ac:dyDescent="0.25">
      <c r="A242" s="5" t="s">
        <v>3</v>
      </c>
      <c r="B242" s="5" t="s">
        <v>3</v>
      </c>
      <c r="C242" s="5" t="s">
        <v>218</v>
      </c>
      <c r="D242" s="6">
        <v>27575.1</v>
      </c>
      <c r="E242" s="28">
        <v>-13500</v>
      </c>
      <c r="F242" s="6">
        <f>D242+E242</f>
        <v>14075.1</v>
      </c>
      <c r="G242" s="22" t="s">
        <v>1259</v>
      </c>
      <c r="H242" s="5" t="s">
        <v>3</v>
      </c>
    </row>
    <row r="243" spans="1:8" x14ac:dyDescent="0.25">
      <c r="A243" s="5" t="s">
        <v>3</v>
      </c>
      <c r="B243" s="5" t="s">
        <v>3</v>
      </c>
      <c r="C243" s="5" t="s">
        <v>280</v>
      </c>
      <c r="D243" s="6">
        <v>8500</v>
      </c>
      <c r="E243" s="29">
        <v>8500</v>
      </c>
      <c r="F243" s="6">
        <f>D243+E243</f>
        <v>17000</v>
      </c>
      <c r="G243" s="23" t="s">
        <v>1260</v>
      </c>
      <c r="H243" s="5" t="s">
        <v>3</v>
      </c>
    </row>
    <row r="244" spans="1:8" x14ac:dyDescent="0.25">
      <c r="A244" s="5" t="s">
        <v>3</v>
      </c>
      <c r="B244" s="5" t="s">
        <v>3</v>
      </c>
      <c r="C244" s="5" t="s">
        <v>220</v>
      </c>
      <c r="D244" s="6">
        <v>15700</v>
      </c>
      <c r="E244" s="28">
        <v>-7200</v>
      </c>
      <c r="F244" s="6">
        <f>D244+E244</f>
        <v>8500</v>
      </c>
      <c r="G244" s="22" t="s">
        <v>1261</v>
      </c>
      <c r="H244" s="5" t="s">
        <v>3</v>
      </c>
    </row>
    <row r="245" spans="1:8" x14ac:dyDescent="0.25">
      <c r="A245" s="5" t="s">
        <v>3</v>
      </c>
      <c r="B245" s="5" t="s">
        <v>3</v>
      </c>
      <c r="C245" s="5" t="s">
        <v>225</v>
      </c>
      <c r="D245" s="6">
        <v>12117.72</v>
      </c>
      <c r="E245" s="28">
        <v>-5932.5</v>
      </c>
      <c r="F245" s="6">
        <f>D245+E245</f>
        <v>6185.22</v>
      </c>
      <c r="G245" s="22" t="s">
        <v>1262</v>
      </c>
      <c r="H245" s="5" t="s">
        <v>3</v>
      </c>
    </row>
    <row r="246" spans="1:8" x14ac:dyDescent="0.25">
      <c r="A246" s="5" t="s">
        <v>3</v>
      </c>
      <c r="B246" s="5" t="s">
        <v>3</v>
      </c>
      <c r="C246" s="5" t="s">
        <v>227</v>
      </c>
      <c r="D246" s="6">
        <v>12275</v>
      </c>
      <c r="E246" s="28">
        <v>-5775</v>
      </c>
      <c r="F246" s="6">
        <f>D246+E246</f>
        <v>6500</v>
      </c>
      <c r="G246" s="22" t="s">
        <v>1263</v>
      </c>
      <c r="H246" s="5" t="s">
        <v>3</v>
      </c>
    </row>
    <row r="247" spans="1:8" x14ac:dyDescent="0.25">
      <c r="A247" s="5" t="s">
        <v>3</v>
      </c>
      <c r="B247" s="5" t="s">
        <v>3</v>
      </c>
      <c r="C247" s="5" t="s">
        <v>229</v>
      </c>
      <c r="D247" s="6">
        <v>10640</v>
      </c>
      <c r="E247" s="28">
        <v>-4840</v>
      </c>
      <c r="F247" s="6">
        <f>D247+E247</f>
        <v>5800</v>
      </c>
      <c r="G247" s="22" t="s">
        <v>1264</v>
      </c>
      <c r="H247" s="5" t="s">
        <v>3</v>
      </c>
    </row>
    <row r="248" spans="1:8" x14ac:dyDescent="0.25">
      <c r="A248" s="5" t="s">
        <v>3</v>
      </c>
      <c r="B248" s="5" t="s">
        <v>3</v>
      </c>
      <c r="C248" s="5" t="s">
        <v>255</v>
      </c>
      <c r="D248" s="6">
        <v>0</v>
      </c>
      <c r="E248" s="28">
        <v>-239.71</v>
      </c>
      <c r="F248" s="6">
        <f>D248+E248</f>
        <v>-239.71</v>
      </c>
      <c r="G248" s="22" t="s">
        <v>1265</v>
      </c>
      <c r="H248" s="5" t="s">
        <v>3</v>
      </c>
    </row>
    <row r="249" spans="1:8" x14ac:dyDescent="0.25">
      <c r="A249" s="5" t="s">
        <v>3</v>
      </c>
      <c r="B249" s="5" t="s">
        <v>3</v>
      </c>
      <c r="C249" s="5" t="s">
        <v>503</v>
      </c>
      <c r="D249" s="6">
        <v>50000</v>
      </c>
      <c r="E249" s="6">
        <v>0</v>
      </c>
      <c r="F249" s="6">
        <f>D249+E249</f>
        <v>50000</v>
      </c>
      <c r="G249" s="5" t="s">
        <v>3</v>
      </c>
      <c r="H249" s="5" t="s">
        <v>3</v>
      </c>
    </row>
    <row r="250" spans="1:8" x14ac:dyDescent="0.25">
      <c r="A250" s="5" t="s">
        <v>3</v>
      </c>
      <c r="B250" s="5" t="s">
        <v>3</v>
      </c>
      <c r="C250" s="5" t="s">
        <v>185</v>
      </c>
      <c r="D250" s="6">
        <v>45000</v>
      </c>
      <c r="E250" s="6">
        <v>0</v>
      </c>
      <c r="F250" s="6">
        <f>D250+E250</f>
        <v>45000</v>
      </c>
      <c r="G250" s="5" t="s">
        <v>3</v>
      </c>
      <c r="H250" s="5" t="s">
        <v>3</v>
      </c>
    </row>
    <row r="251" spans="1:8" x14ac:dyDescent="0.25">
      <c r="A251" s="5" t="s">
        <v>3</v>
      </c>
      <c r="B251" s="5" t="s">
        <v>3</v>
      </c>
      <c r="C251" s="5" t="s">
        <v>734</v>
      </c>
      <c r="D251" s="6">
        <v>42760.22</v>
      </c>
      <c r="E251" s="6">
        <v>0</v>
      </c>
      <c r="F251" s="6">
        <f>D251+E251</f>
        <v>42760.22</v>
      </c>
      <c r="G251" s="5" t="s">
        <v>3</v>
      </c>
      <c r="H251" s="5" t="s">
        <v>3</v>
      </c>
    </row>
    <row r="252" spans="1:8" x14ac:dyDescent="0.25">
      <c r="A252" s="5" t="s">
        <v>3</v>
      </c>
      <c r="B252" s="5" t="s">
        <v>3</v>
      </c>
      <c r="C252" s="5" t="s">
        <v>745</v>
      </c>
      <c r="D252" s="6">
        <v>40000</v>
      </c>
      <c r="E252" s="6">
        <v>0</v>
      </c>
      <c r="F252" s="6">
        <f>D252+E252</f>
        <v>40000</v>
      </c>
      <c r="G252" s="5" t="s">
        <v>3</v>
      </c>
      <c r="H252" s="5" t="s">
        <v>3</v>
      </c>
    </row>
    <row r="253" spans="1:8" x14ac:dyDescent="0.25">
      <c r="A253" s="5" t="s">
        <v>3</v>
      </c>
      <c r="B253" s="5" t="s">
        <v>3</v>
      </c>
      <c r="C253" s="5" t="s">
        <v>85</v>
      </c>
      <c r="D253" s="6">
        <v>35000</v>
      </c>
      <c r="E253" s="6">
        <v>0</v>
      </c>
      <c r="F253" s="6">
        <f>D253+E253</f>
        <v>35000</v>
      </c>
      <c r="G253" s="5" t="s">
        <v>3</v>
      </c>
      <c r="H253" s="5" t="s">
        <v>3</v>
      </c>
    </row>
    <row r="254" spans="1:8" x14ac:dyDescent="0.25">
      <c r="A254" s="5" t="s">
        <v>3</v>
      </c>
      <c r="B254" s="5" t="s">
        <v>3</v>
      </c>
      <c r="C254" s="5" t="s">
        <v>88</v>
      </c>
      <c r="D254" s="6">
        <v>31278</v>
      </c>
      <c r="E254" s="6">
        <v>0</v>
      </c>
      <c r="F254" s="6">
        <f>D254+E254</f>
        <v>31278</v>
      </c>
      <c r="G254" s="5" t="s">
        <v>3</v>
      </c>
      <c r="H254" s="5" t="s">
        <v>3</v>
      </c>
    </row>
    <row r="255" spans="1:8" x14ac:dyDescent="0.25">
      <c r="A255" s="5" t="s">
        <v>3</v>
      </c>
      <c r="B255" s="5" t="s">
        <v>3</v>
      </c>
      <c r="C255" s="5" t="s">
        <v>680</v>
      </c>
      <c r="D255" s="6">
        <v>30000</v>
      </c>
      <c r="E255" s="6">
        <v>0</v>
      </c>
      <c r="F255" s="6">
        <f>D255+E255</f>
        <v>30000</v>
      </c>
      <c r="G255" s="5" t="s">
        <v>3</v>
      </c>
      <c r="H255" s="5" t="s">
        <v>3</v>
      </c>
    </row>
    <row r="256" spans="1:8" x14ac:dyDescent="0.25">
      <c r="A256" s="5" t="s">
        <v>3</v>
      </c>
      <c r="B256" s="5" t="s">
        <v>3</v>
      </c>
      <c r="C256" s="5" t="s">
        <v>77</v>
      </c>
      <c r="D256" s="6">
        <v>29806.45</v>
      </c>
      <c r="E256" s="6">
        <v>0</v>
      </c>
      <c r="F256" s="6">
        <f>D256+E256</f>
        <v>29806.45</v>
      </c>
      <c r="G256" s="5" t="s">
        <v>3</v>
      </c>
      <c r="H256" s="5" t="s">
        <v>3</v>
      </c>
    </row>
    <row r="257" spans="1:8" x14ac:dyDescent="0.25">
      <c r="A257" s="5" t="s">
        <v>3</v>
      </c>
      <c r="B257" s="5" t="s">
        <v>3</v>
      </c>
      <c r="C257" s="5" t="s">
        <v>678</v>
      </c>
      <c r="D257" s="6">
        <v>28671.5</v>
      </c>
      <c r="E257" s="6">
        <v>0</v>
      </c>
      <c r="F257" s="6">
        <f>D257+E257</f>
        <v>28671.5</v>
      </c>
      <c r="G257" s="5" t="s">
        <v>3</v>
      </c>
      <c r="H257" s="5" t="s">
        <v>3</v>
      </c>
    </row>
    <row r="258" spans="1:8" x14ac:dyDescent="0.25">
      <c r="A258" s="5" t="s">
        <v>3</v>
      </c>
      <c r="B258" s="5" t="s">
        <v>3</v>
      </c>
      <c r="C258" s="5" t="s">
        <v>683</v>
      </c>
      <c r="D258" s="6">
        <v>22937.2</v>
      </c>
      <c r="E258" s="6">
        <v>0</v>
      </c>
      <c r="F258" s="6">
        <f>D258+E258</f>
        <v>22937.2</v>
      </c>
      <c r="G258" s="5" t="s">
        <v>3</v>
      </c>
      <c r="H258" s="5" t="s">
        <v>3</v>
      </c>
    </row>
    <row r="259" spans="1:8" x14ac:dyDescent="0.25">
      <c r="A259" s="5" t="s">
        <v>3</v>
      </c>
      <c r="B259" s="5" t="s">
        <v>3</v>
      </c>
      <c r="C259" s="5" t="s">
        <v>72</v>
      </c>
      <c r="D259" s="6">
        <v>22000</v>
      </c>
      <c r="E259" s="6">
        <v>0</v>
      </c>
      <c r="F259" s="6">
        <f>D259+E259</f>
        <v>22000</v>
      </c>
      <c r="G259" s="5" t="s">
        <v>3</v>
      </c>
      <c r="H259" s="5" t="s">
        <v>3</v>
      </c>
    </row>
    <row r="260" spans="1:8" x14ac:dyDescent="0.25">
      <c r="A260" s="5" t="s">
        <v>3</v>
      </c>
      <c r="B260" s="5" t="s">
        <v>3</v>
      </c>
      <c r="C260" s="5" t="s">
        <v>691</v>
      </c>
      <c r="D260" s="6">
        <v>20000</v>
      </c>
      <c r="E260" s="6">
        <v>0</v>
      </c>
      <c r="F260" s="6">
        <f>D260+E260</f>
        <v>20000</v>
      </c>
      <c r="G260" s="5" t="s">
        <v>3</v>
      </c>
      <c r="H260" s="5" t="s">
        <v>3</v>
      </c>
    </row>
    <row r="261" spans="1:8" x14ac:dyDescent="0.25">
      <c r="A261" s="5" t="s">
        <v>3</v>
      </c>
      <c r="B261" s="5" t="s">
        <v>3</v>
      </c>
      <c r="C261" s="5" t="s">
        <v>833</v>
      </c>
      <c r="D261" s="6">
        <v>18600</v>
      </c>
      <c r="E261" s="6">
        <v>0</v>
      </c>
      <c r="F261" s="6">
        <f>D261+E261</f>
        <v>18600</v>
      </c>
      <c r="G261" s="5" t="s">
        <v>3</v>
      </c>
      <c r="H261" s="5" t="s">
        <v>3</v>
      </c>
    </row>
    <row r="262" spans="1:8" x14ac:dyDescent="0.25">
      <c r="A262" s="5" t="s">
        <v>3</v>
      </c>
      <c r="B262" s="5" t="s">
        <v>3</v>
      </c>
      <c r="C262" s="5" t="s">
        <v>1095</v>
      </c>
      <c r="D262" s="6">
        <v>17426.77</v>
      </c>
      <c r="E262" s="6">
        <v>0</v>
      </c>
      <c r="F262" s="6">
        <f>D262+E262</f>
        <v>17426.77</v>
      </c>
      <c r="G262" s="5" t="s">
        <v>3</v>
      </c>
      <c r="H262" s="5" t="s">
        <v>3</v>
      </c>
    </row>
    <row r="263" spans="1:8" x14ac:dyDescent="0.25">
      <c r="A263" s="5" t="s">
        <v>3</v>
      </c>
      <c r="B263" s="5" t="s">
        <v>3</v>
      </c>
      <c r="C263" s="5" t="s">
        <v>720</v>
      </c>
      <c r="D263" s="6">
        <v>16666.67</v>
      </c>
      <c r="E263" s="6">
        <v>0</v>
      </c>
      <c r="F263" s="6">
        <f>D263+E263</f>
        <v>16666.67</v>
      </c>
      <c r="G263" s="5" t="s">
        <v>3</v>
      </c>
      <c r="H263" s="5" t="s">
        <v>1266</v>
      </c>
    </row>
    <row r="264" spans="1:8" x14ac:dyDescent="0.25">
      <c r="A264" s="5" t="s">
        <v>3</v>
      </c>
      <c r="B264" s="5" t="s">
        <v>3</v>
      </c>
      <c r="C264" s="5" t="s">
        <v>694</v>
      </c>
      <c r="D264" s="6">
        <v>16357.73</v>
      </c>
      <c r="E264" s="6">
        <v>0</v>
      </c>
      <c r="F264" s="6">
        <f>D264+E264</f>
        <v>16357.73</v>
      </c>
      <c r="G264" s="5" t="s">
        <v>3</v>
      </c>
      <c r="H264" s="5" t="s">
        <v>3</v>
      </c>
    </row>
    <row r="265" spans="1:8" x14ac:dyDescent="0.25">
      <c r="A265" s="5" t="s">
        <v>3</v>
      </c>
      <c r="B265" s="5" t="s">
        <v>3</v>
      </c>
      <c r="C265" s="5" t="s">
        <v>1094</v>
      </c>
      <c r="D265" s="6">
        <v>16000</v>
      </c>
      <c r="E265" s="6">
        <v>0</v>
      </c>
      <c r="F265" s="6">
        <f>D265+E265</f>
        <v>16000</v>
      </c>
      <c r="G265" s="5" t="s">
        <v>3</v>
      </c>
      <c r="H265" s="5" t="s">
        <v>3</v>
      </c>
    </row>
    <row r="266" spans="1:8" x14ac:dyDescent="0.25">
      <c r="A266" s="5" t="s">
        <v>3</v>
      </c>
      <c r="B266" s="5" t="s">
        <v>3</v>
      </c>
      <c r="C266" s="5" t="s">
        <v>1143</v>
      </c>
      <c r="D266" s="6">
        <v>15000</v>
      </c>
      <c r="E266" s="6">
        <v>0</v>
      </c>
      <c r="F266" s="6">
        <f>D266+E266</f>
        <v>15000</v>
      </c>
      <c r="G266" s="5" t="s">
        <v>3</v>
      </c>
      <c r="H266" s="5" t="s">
        <v>3</v>
      </c>
    </row>
    <row r="267" spans="1:8" x14ac:dyDescent="0.25">
      <c r="A267" s="5" t="s">
        <v>3</v>
      </c>
      <c r="B267" s="5" t="s">
        <v>3</v>
      </c>
      <c r="C267" s="5" t="s">
        <v>690</v>
      </c>
      <c r="D267" s="6">
        <v>14596.4</v>
      </c>
      <c r="E267" s="6">
        <v>0</v>
      </c>
      <c r="F267" s="6">
        <f>D267+E267</f>
        <v>14596.4</v>
      </c>
      <c r="G267" s="5" t="s">
        <v>3</v>
      </c>
      <c r="H267" s="5" t="s">
        <v>3</v>
      </c>
    </row>
    <row r="268" spans="1:8" x14ac:dyDescent="0.25">
      <c r="A268" s="5" t="s">
        <v>3</v>
      </c>
      <c r="B268" s="5" t="s">
        <v>3</v>
      </c>
      <c r="C268" s="5" t="s">
        <v>1093</v>
      </c>
      <c r="D268" s="6">
        <v>14000</v>
      </c>
      <c r="E268" s="6">
        <v>0</v>
      </c>
      <c r="F268" s="6">
        <f>D268+E268</f>
        <v>14000</v>
      </c>
      <c r="G268" s="5" t="s">
        <v>3</v>
      </c>
      <c r="H268" s="5" t="s">
        <v>3</v>
      </c>
    </row>
    <row r="269" spans="1:8" x14ac:dyDescent="0.25">
      <c r="A269" s="5" t="s">
        <v>3</v>
      </c>
      <c r="B269" s="5" t="s">
        <v>3</v>
      </c>
      <c r="C269" s="5" t="s">
        <v>197</v>
      </c>
      <c r="D269" s="6">
        <v>13500</v>
      </c>
      <c r="E269" s="6">
        <v>0</v>
      </c>
      <c r="F269" s="6">
        <f>D269+E269</f>
        <v>13500</v>
      </c>
      <c r="G269" s="5" t="s">
        <v>3</v>
      </c>
      <c r="H269" s="5" t="s">
        <v>3</v>
      </c>
    </row>
    <row r="270" spans="1:8" x14ac:dyDescent="0.25">
      <c r="A270" s="5" t="s">
        <v>3</v>
      </c>
      <c r="B270" s="5" t="s">
        <v>3</v>
      </c>
      <c r="C270" s="5" t="s">
        <v>1144</v>
      </c>
      <c r="D270" s="6">
        <v>13000</v>
      </c>
      <c r="E270" s="6">
        <v>0</v>
      </c>
      <c r="F270" s="6">
        <f>D270+E270</f>
        <v>13000</v>
      </c>
      <c r="G270" s="5" t="s">
        <v>3</v>
      </c>
      <c r="H270" s="5" t="s">
        <v>3</v>
      </c>
    </row>
    <row r="271" spans="1:8" x14ac:dyDescent="0.25">
      <c r="A271" s="5" t="s">
        <v>3</v>
      </c>
      <c r="B271" s="5" t="s">
        <v>3</v>
      </c>
      <c r="C271" s="5" t="s">
        <v>721</v>
      </c>
      <c r="D271" s="6">
        <v>12500</v>
      </c>
      <c r="E271" s="6">
        <v>0</v>
      </c>
      <c r="F271" s="6">
        <f>D271+E271</f>
        <v>12500</v>
      </c>
      <c r="G271" s="5" t="s">
        <v>3</v>
      </c>
      <c r="H271" s="5" t="s">
        <v>3</v>
      </c>
    </row>
    <row r="272" spans="1:8" x14ac:dyDescent="0.25">
      <c r="A272" s="5" t="s">
        <v>3</v>
      </c>
      <c r="B272" s="5" t="s">
        <v>3</v>
      </c>
      <c r="C272" s="5" t="s">
        <v>698</v>
      </c>
      <c r="D272" s="6">
        <v>12500</v>
      </c>
      <c r="E272" s="6">
        <v>0</v>
      </c>
      <c r="F272" s="6">
        <f>D272+E272</f>
        <v>12500</v>
      </c>
      <c r="G272" s="5" t="s">
        <v>3</v>
      </c>
      <c r="H272" s="5" t="s">
        <v>3</v>
      </c>
    </row>
    <row r="273" spans="1:8" x14ac:dyDescent="0.25">
      <c r="A273" s="5" t="s">
        <v>3</v>
      </c>
      <c r="B273" s="5" t="s">
        <v>3</v>
      </c>
      <c r="C273" s="5" t="s">
        <v>835</v>
      </c>
      <c r="D273" s="6">
        <v>12000</v>
      </c>
      <c r="E273" s="6">
        <v>0</v>
      </c>
      <c r="F273" s="6">
        <f>D273+E273</f>
        <v>12000</v>
      </c>
      <c r="G273" s="5" t="s">
        <v>3</v>
      </c>
      <c r="H273" s="5" t="s">
        <v>3</v>
      </c>
    </row>
    <row r="274" spans="1:8" x14ac:dyDescent="0.25">
      <c r="A274" s="5" t="s">
        <v>3</v>
      </c>
      <c r="B274" s="5" t="s">
        <v>3</v>
      </c>
      <c r="C274" s="5" t="s">
        <v>714</v>
      </c>
      <c r="D274" s="6">
        <v>11023.78</v>
      </c>
      <c r="E274" s="6">
        <v>0</v>
      </c>
      <c r="F274" s="6">
        <f>D274+E274</f>
        <v>11023.78</v>
      </c>
      <c r="G274" s="5" t="s">
        <v>3</v>
      </c>
      <c r="H274" s="5" t="s">
        <v>3</v>
      </c>
    </row>
    <row r="275" spans="1:8" x14ac:dyDescent="0.25">
      <c r="A275" s="5" t="s">
        <v>3</v>
      </c>
      <c r="B275" s="5" t="s">
        <v>3</v>
      </c>
      <c r="C275" s="5" t="s">
        <v>692</v>
      </c>
      <c r="D275" s="6">
        <v>11000</v>
      </c>
      <c r="E275" s="6">
        <v>0</v>
      </c>
      <c r="F275" s="6">
        <f>D275+E275</f>
        <v>11000</v>
      </c>
      <c r="G275" s="5" t="s">
        <v>3</v>
      </c>
      <c r="H275" s="5" t="s">
        <v>3</v>
      </c>
    </row>
    <row r="276" spans="1:8" x14ac:dyDescent="0.25">
      <c r="A276" s="5" t="s">
        <v>3</v>
      </c>
      <c r="B276" s="5" t="s">
        <v>3</v>
      </c>
      <c r="C276" s="5" t="s">
        <v>695</v>
      </c>
      <c r="D276" s="6">
        <v>11000</v>
      </c>
      <c r="E276" s="6">
        <v>0</v>
      </c>
      <c r="F276" s="6">
        <f>D276+E276</f>
        <v>11000</v>
      </c>
      <c r="G276" s="5" t="s">
        <v>3</v>
      </c>
      <c r="H276" s="5" t="s">
        <v>3</v>
      </c>
    </row>
    <row r="277" spans="1:8" x14ac:dyDescent="0.25">
      <c r="A277" s="5" t="s">
        <v>3</v>
      </c>
      <c r="B277" s="5" t="s">
        <v>3</v>
      </c>
      <c r="C277" s="5" t="s">
        <v>1092</v>
      </c>
      <c r="D277" s="6">
        <v>10284.19</v>
      </c>
      <c r="E277" s="6">
        <v>0</v>
      </c>
      <c r="F277" s="6">
        <f>D277+E277</f>
        <v>10284.19</v>
      </c>
      <c r="G277" s="5" t="s">
        <v>3</v>
      </c>
      <c r="H277" s="5" t="s">
        <v>3</v>
      </c>
    </row>
    <row r="278" spans="1:8" x14ac:dyDescent="0.25">
      <c r="A278" s="5" t="s">
        <v>3</v>
      </c>
      <c r="B278" s="5" t="s">
        <v>3</v>
      </c>
      <c r="C278" s="5" t="s">
        <v>308</v>
      </c>
      <c r="D278" s="6">
        <v>10000</v>
      </c>
      <c r="E278" s="6">
        <v>0</v>
      </c>
      <c r="F278" s="6">
        <f>D278+E278</f>
        <v>10000</v>
      </c>
      <c r="G278" s="5" t="s">
        <v>3</v>
      </c>
      <c r="H278" s="5" t="s">
        <v>3</v>
      </c>
    </row>
    <row r="279" spans="1:8" x14ac:dyDescent="0.25">
      <c r="A279" s="5" t="s">
        <v>3</v>
      </c>
      <c r="B279" s="5" t="s">
        <v>3</v>
      </c>
      <c r="C279" s="5" t="s">
        <v>532</v>
      </c>
      <c r="D279" s="6">
        <v>8500</v>
      </c>
      <c r="E279" s="6">
        <v>0</v>
      </c>
      <c r="F279" s="6">
        <f>D279+E279</f>
        <v>8500</v>
      </c>
      <c r="G279" s="5" t="s">
        <v>3</v>
      </c>
      <c r="H279" s="5" t="s">
        <v>3</v>
      </c>
    </row>
    <row r="280" spans="1:8" x14ac:dyDescent="0.25">
      <c r="A280" s="5" t="s">
        <v>3</v>
      </c>
      <c r="B280" s="5" t="s">
        <v>3</v>
      </c>
      <c r="C280" s="5" t="s">
        <v>1267</v>
      </c>
      <c r="D280" s="6">
        <v>-8500</v>
      </c>
      <c r="E280" s="6">
        <v>0</v>
      </c>
      <c r="F280" s="6">
        <f>D280+E280</f>
        <v>-8500</v>
      </c>
      <c r="G280" s="5" t="s">
        <v>3</v>
      </c>
      <c r="H280" s="5" t="s">
        <v>3</v>
      </c>
    </row>
    <row r="281" spans="1:8" x14ac:dyDescent="0.25">
      <c r="A281" s="5" t="s">
        <v>3</v>
      </c>
      <c r="B281" s="5" t="s">
        <v>3</v>
      </c>
      <c r="C281" s="5" t="s">
        <v>290</v>
      </c>
      <c r="D281" s="6">
        <v>7850</v>
      </c>
      <c r="E281" s="6">
        <v>0</v>
      </c>
      <c r="F281" s="6">
        <f>D281+E281</f>
        <v>7850</v>
      </c>
      <c r="G281" s="5" t="s">
        <v>3</v>
      </c>
      <c r="H281" s="5" t="s">
        <v>3</v>
      </c>
    </row>
    <row r="282" spans="1:8" x14ac:dyDescent="0.25">
      <c r="A282" s="5" t="s">
        <v>3</v>
      </c>
      <c r="B282" s="5" t="s">
        <v>3</v>
      </c>
      <c r="C282" s="5" t="s">
        <v>140</v>
      </c>
      <c r="D282" s="6">
        <v>7618.28</v>
      </c>
      <c r="E282" s="6">
        <v>0</v>
      </c>
      <c r="F282" s="6">
        <f>D282+E282</f>
        <v>7618.28</v>
      </c>
      <c r="G282" s="5" t="s">
        <v>3</v>
      </c>
      <c r="H282" s="5" t="s">
        <v>3</v>
      </c>
    </row>
    <row r="283" spans="1:8" x14ac:dyDescent="0.25">
      <c r="A283" s="5" t="s">
        <v>3</v>
      </c>
      <c r="B283" s="5" t="s">
        <v>3</v>
      </c>
      <c r="C283" s="5" t="s">
        <v>857</v>
      </c>
      <c r="D283" s="6">
        <v>-7500</v>
      </c>
      <c r="E283" s="6">
        <v>0</v>
      </c>
      <c r="F283" s="6">
        <f>D283+E283</f>
        <v>-7500</v>
      </c>
      <c r="G283" s="5" t="s">
        <v>3</v>
      </c>
      <c r="H283" s="5" t="s">
        <v>3</v>
      </c>
    </row>
    <row r="284" spans="1:8" x14ac:dyDescent="0.25">
      <c r="A284" s="5" t="s">
        <v>3</v>
      </c>
      <c r="B284" s="5" t="s">
        <v>3</v>
      </c>
      <c r="C284" s="5" t="s">
        <v>718</v>
      </c>
      <c r="D284" s="6">
        <v>7500</v>
      </c>
      <c r="E284" s="6">
        <v>0</v>
      </c>
      <c r="F284" s="6">
        <f>D284+E284</f>
        <v>7500</v>
      </c>
      <c r="G284" s="5" t="s">
        <v>3</v>
      </c>
      <c r="H284" s="5" t="s">
        <v>3</v>
      </c>
    </row>
    <row r="285" spans="1:8" x14ac:dyDescent="0.25">
      <c r="A285" s="5" t="s">
        <v>3</v>
      </c>
      <c r="B285" s="5" t="s">
        <v>3</v>
      </c>
      <c r="C285" s="5" t="s">
        <v>702</v>
      </c>
      <c r="D285" s="6">
        <v>7298.2</v>
      </c>
      <c r="E285" s="6">
        <v>0</v>
      </c>
      <c r="F285" s="6">
        <f>D285+E285</f>
        <v>7298.2</v>
      </c>
      <c r="G285" s="5" t="s">
        <v>3</v>
      </c>
      <c r="H285" s="5" t="s">
        <v>3</v>
      </c>
    </row>
    <row r="286" spans="1:8" x14ac:dyDescent="0.25">
      <c r="A286" s="5" t="s">
        <v>3</v>
      </c>
      <c r="B286" s="5" t="s">
        <v>3</v>
      </c>
      <c r="C286" s="5" t="s">
        <v>1268</v>
      </c>
      <c r="D286" s="6">
        <v>7000</v>
      </c>
      <c r="E286" s="6">
        <v>0</v>
      </c>
      <c r="F286" s="6">
        <f>D286+E286</f>
        <v>7000</v>
      </c>
      <c r="G286" s="5" t="s">
        <v>3</v>
      </c>
      <c r="H286" s="5" t="s">
        <v>517</v>
      </c>
    </row>
    <row r="287" spans="1:8" x14ac:dyDescent="0.25">
      <c r="A287" s="5" t="s">
        <v>3</v>
      </c>
      <c r="B287" s="5" t="s">
        <v>3</v>
      </c>
      <c r="C287" s="5" t="s">
        <v>716</v>
      </c>
      <c r="D287" s="6">
        <v>6835</v>
      </c>
      <c r="E287" s="6">
        <v>0</v>
      </c>
      <c r="F287" s="6">
        <f>D287+E287</f>
        <v>6835</v>
      </c>
      <c r="G287" s="5" t="s">
        <v>3</v>
      </c>
      <c r="H287" s="5" t="s">
        <v>3</v>
      </c>
    </row>
    <row r="288" spans="1:8" x14ac:dyDescent="0.25">
      <c r="A288" s="5" t="s">
        <v>3</v>
      </c>
      <c r="B288" s="5" t="s">
        <v>3</v>
      </c>
      <c r="C288" s="5" t="s">
        <v>723</v>
      </c>
      <c r="D288" s="6">
        <v>6600</v>
      </c>
      <c r="E288" s="6">
        <v>0</v>
      </c>
      <c r="F288" s="6">
        <f>D288+E288</f>
        <v>6600</v>
      </c>
      <c r="G288" s="5" t="s">
        <v>3</v>
      </c>
      <c r="H288" s="5" t="s">
        <v>3</v>
      </c>
    </row>
    <row r="289" spans="1:8" x14ac:dyDescent="0.25">
      <c r="A289" s="5" t="s">
        <v>3</v>
      </c>
      <c r="B289" s="5" t="s">
        <v>3</v>
      </c>
      <c r="C289" s="5" t="s">
        <v>712</v>
      </c>
      <c r="D289" s="6">
        <v>6500</v>
      </c>
      <c r="E289" s="6">
        <v>0</v>
      </c>
      <c r="F289" s="6">
        <f>D289+E289</f>
        <v>6500</v>
      </c>
      <c r="G289" s="5" t="s">
        <v>3</v>
      </c>
      <c r="H289" s="5" t="s">
        <v>3</v>
      </c>
    </row>
    <row r="290" spans="1:8" x14ac:dyDescent="0.25">
      <c r="A290" s="5" t="s">
        <v>3</v>
      </c>
      <c r="B290" s="5" t="s">
        <v>3</v>
      </c>
      <c r="C290" s="5" t="s">
        <v>727</v>
      </c>
      <c r="D290" s="6">
        <v>6486.17</v>
      </c>
      <c r="E290" s="6">
        <v>0</v>
      </c>
      <c r="F290" s="6">
        <f>D290+E290</f>
        <v>6486.17</v>
      </c>
      <c r="G290" s="5" t="s">
        <v>3</v>
      </c>
      <c r="H290" s="5" t="s">
        <v>3</v>
      </c>
    </row>
    <row r="291" spans="1:8" x14ac:dyDescent="0.25">
      <c r="A291" s="5" t="s">
        <v>3</v>
      </c>
      <c r="B291" s="5" t="s">
        <v>3</v>
      </c>
      <c r="C291" s="5" t="s">
        <v>158</v>
      </c>
      <c r="D291" s="6">
        <v>6474.54</v>
      </c>
      <c r="E291" s="6">
        <v>0</v>
      </c>
      <c r="F291" s="6">
        <f>D291+E291</f>
        <v>6474.54</v>
      </c>
      <c r="G291" s="5" t="s">
        <v>3</v>
      </c>
      <c r="H291" s="5" t="s">
        <v>3</v>
      </c>
    </row>
    <row r="292" spans="1:8" x14ac:dyDescent="0.25">
      <c r="A292" s="5" t="s">
        <v>3</v>
      </c>
      <c r="B292" s="5" t="s">
        <v>3</v>
      </c>
      <c r="C292" s="5" t="s">
        <v>696</v>
      </c>
      <c r="D292" s="6">
        <v>6458.72</v>
      </c>
      <c r="E292" s="6">
        <v>0</v>
      </c>
      <c r="F292" s="6">
        <f>D292+E292</f>
        <v>6458.72</v>
      </c>
      <c r="G292" s="5" t="s">
        <v>3</v>
      </c>
      <c r="H292" s="5" t="s">
        <v>3</v>
      </c>
    </row>
    <row r="293" spans="1:8" x14ac:dyDescent="0.25">
      <c r="A293" s="5" t="s">
        <v>3</v>
      </c>
      <c r="B293" s="5" t="s">
        <v>3</v>
      </c>
      <c r="C293" s="5" t="s">
        <v>729</v>
      </c>
      <c r="D293" s="6">
        <v>6127.8</v>
      </c>
      <c r="E293" s="6">
        <v>0</v>
      </c>
      <c r="F293" s="6">
        <f>D293+E293</f>
        <v>6127.8</v>
      </c>
      <c r="G293" s="5" t="s">
        <v>3</v>
      </c>
      <c r="H293" s="5" t="s">
        <v>529</v>
      </c>
    </row>
    <row r="294" spans="1:8" x14ac:dyDescent="0.25">
      <c r="A294" s="5" t="s">
        <v>3</v>
      </c>
      <c r="B294" s="5" t="s">
        <v>3</v>
      </c>
      <c r="C294" s="5" t="s">
        <v>838</v>
      </c>
      <c r="D294" s="6">
        <v>6000</v>
      </c>
      <c r="E294" s="6">
        <v>0</v>
      </c>
      <c r="F294" s="6">
        <f>D294+E294</f>
        <v>6000</v>
      </c>
      <c r="G294" s="5" t="s">
        <v>3</v>
      </c>
      <c r="H294" s="5" t="s">
        <v>3</v>
      </c>
    </row>
    <row r="295" spans="1:8" x14ac:dyDescent="0.25">
      <c r="A295" s="5" t="s">
        <v>3</v>
      </c>
      <c r="B295" s="5" t="s">
        <v>3</v>
      </c>
      <c r="C295" s="5" t="s">
        <v>1269</v>
      </c>
      <c r="D295" s="6">
        <v>-5866.67</v>
      </c>
      <c r="E295" s="6">
        <v>0</v>
      </c>
      <c r="F295" s="6">
        <f>D295+E295</f>
        <v>-5866.67</v>
      </c>
      <c r="G295" s="5" t="s">
        <v>3</v>
      </c>
      <c r="H295" s="5" t="s">
        <v>1270</v>
      </c>
    </row>
    <row r="296" spans="1:8" x14ac:dyDescent="0.25">
      <c r="A296" s="5" t="s">
        <v>3</v>
      </c>
      <c r="B296" s="5" t="s">
        <v>3</v>
      </c>
      <c r="C296" s="5" t="s">
        <v>730</v>
      </c>
      <c r="D296" s="6">
        <v>4700</v>
      </c>
      <c r="E296" s="6">
        <v>0</v>
      </c>
      <c r="F296" s="6">
        <f>D296+E296</f>
        <v>4700</v>
      </c>
      <c r="G296" s="5" t="s">
        <v>3</v>
      </c>
      <c r="H296" s="5" t="s">
        <v>3</v>
      </c>
    </row>
    <row r="297" spans="1:8" x14ac:dyDescent="0.25">
      <c r="A297" s="5" t="s">
        <v>3</v>
      </c>
      <c r="B297" s="5" t="s">
        <v>3</v>
      </c>
      <c r="C297" s="5" t="s">
        <v>733</v>
      </c>
      <c r="D297" s="6">
        <v>4446.09</v>
      </c>
      <c r="E297" s="6">
        <v>0</v>
      </c>
      <c r="F297" s="6">
        <f>D297+E297</f>
        <v>4446.09</v>
      </c>
      <c r="G297" s="5" t="s">
        <v>3</v>
      </c>
      <c r="H297" s="5" t="s">
        <v>3</v>
      </c>
    </row>
    <row r="298" spans="1:8" x14ac:dyDescent="0.25">
      <c r="A298" s="5" t="s">
        <v>3</v>
      </c>
      <c r="B298" s="5" t="s">
        <v>3</v>
      </c>
      <c r="C298" s="5" t="s">
        <v>732</v>
      </c>
      <c r="D298" s="6">
        <v>4000</v>
      </c>
      <c r="E298" s="6">
        <v>0</v>
      </c>
      <c r="F298" s="6">
        <f>D298+E298</f>
        <v>4000</v>
      </c>
      <c r="G298" s="5" t="s">
        <v>3</v>
      </c>
      <c r="H298" s="5" t="s">
        <v>3</v>
      </c>
    </row>
    <row r="299" spans="1:8" x14ac:dyDescent="0.25">
      <c r="A299" s="5" t="s">
        <v>3</v>
      </c>
      <c r="B299" s="5" t="s">
        <v>3</v>
      </c>
      <c r="C299" s="5" t="s">
        <v>725</v>
      </c>
      <c r="D299" s="6">
        <v>3649.1</v>
      </c>
      <c r="E299" s="6">
        <v>0</v>
      </c>
      <c r="F299" s="6">
        <f>D299+E299</f>
        <v>3649.1</v>
      </c>
      <c r="G299" s="5" t="s">
        <v>3</v>
      </c>
      <c r="H299" s="5" t="s">
        <v>3</v>
      </c>
    </row>
    <row r="300" spans="1:8" x14ac:dyDescent="0.25">
      <c r="A300" s="5" t="s">
        <v>3</v>
      </c>
      <c r="B300" s="5" t="s">
        <v>3</v>
      </c>
      <c r="C300" s="5" t="s">
        <v>166</v>
      </c>
      <c r="D300" s="6">
        <v>1874</v>
      </c>
      <c r="E300" s="6">
        <v>0</v>
      </c>
      <c r="F300" s="6">
        <f>D300+E300</f>
        <v>1874</v>
      </c>
      <c r="G300" s="5" t="s">
        <v>3</v>
      </c>
      <c r="H300" s="5" t="s">
        <v>3</v>
      </c>
    </row>
    <row r="301" spans="1:8" x14ac:dyDescent="0.25">
      <c r="A301" s="5" t="s">
        <v>3</v>
      </c>
      <c r="B301" s="5" t="s">
        <v>3</v>
      </c>
      <c r="C301" s="5" t="s">
        <v>655</v>
      </c>
      <c r="D301" s="6">
        <v>1800</v>
      </c>
      <c r="E301" s="6">
        <v>0</v>
      </c>
      <c r="F301" s="6">
        <f>D301+E301</f>
        <v>1800</v>
      </c>
      <c r="G301" s="5" t="s">
        <v>3</v>
      </c>
      <c r="H301" s="5" t="s">
        <v>3</v>
      </c>
    </row>
    <row r="302" spans="1:8" x14ac:dyDescent="0.25">
      <c r="A302" s="5" t="s">
        <v>3</v>
      </c>
      <c r="B302" s="5" t="s">
        <v>3</v>
      </c>
      <c r="C302" s="5" t="s">
        <v>859</v>
      </c>
      <c r="D302" s="6">
        <v>990</v>
      </c>
      <c r="E302" s="6">
        <v>0</v>
      </c>
      <c r="F302" s="6">
        <f>D302+E302</f>
        <v>990</v>
      </c>
      <c r="G302" s="5" t="s">
        <v>3</v>
      </c>
      <c r="H302" s="5" t="s">
        <v>3</v>
      </c>
    </row>
    <row r="303" spans="1:8" x14ac:dyDescent="0.25">
      <c r="A303" s="5" t="s">
        <v>3</v>
      </c>
      <c r="B303" s="5" t="s">
        <v>3</v>
      </c>
      <c r="C303" s="5" t="s">
        <v>737</v>
      </c>
      <c r="D303" s="6">
        <v>980</v>
      </c>
      <c r="E303" s="6">
        <v>0</v>
      </c>
      <c r="F303" s="6">
        <f>D303+E303</f>
        <v>980</v>
      </c>
      <c r="G303" s="5" t="s">
        <v>3</v>
      </c>
      <c r="H303" s="5" t="s">
        <v>3</v>
      </c>
    </row>
    <row r="304" spans="1:8" x14ac:dyDescent="0.25">
      <c r="A304" s="5" t="s">
        <v>3</v>
      </c>
      <c r="B304" s="5" t="s">
        <v>3</v>
      </c>
      <c r="C304" s="5" t="s">
        <v>741</v>
      </c>
      <c r="D304" s="6">
        <v>577.58</v>
      </c>
      <c r="E304" s="6">
        <v>0</v>
      </c>
      <c r="F304" s="6">
        <f>D304+E304</f>
        <v>577.58</v>
      </c>
      <c r="G304" s="5" t="s">
        <v>3</v>
      </c>
      <c r="H304" s="5" t="s">
        <v>3</v>
      </c>
    </row>
    <row r="305" spans="1:8" x14ac:dyDescent="0.25">
      <c r="A305" s="5" t="s">
        <v>3</v>
      </c>
      <c r="B305" s="5" t="s">
        <v>3</v>
      </c>
      <c r="C305" s="5" t="s">
        <v>860</v>
      </c>
      <c r="D305" s="6">
        <v>379.24</v>
      </c>
      <c r="E305" s="6">
        <v>0</v>
      </c>
      <c r="F305" s="6">
        <f>D305+E305</f>
        <v>379.24</v>
      </c>
      <c r="G305" s="5" t="s">
        <v>3</v>
      </c>
      <c r="H305" s="5" t="s">
        <v>3</v>
      </c>
    </row>
    <row r="306" spans="1:8" x14ac:dyDescent="0.25">
      <c r="A306" s="5" t="s">
        <v>3</v>
      </c>
      <c r="B306" s="5" t="s">
        <v>3</v>
      </c>
      <c r="C306" s="5" t="s">
        <v>742</v>
      </c>
      <c r="D306" s="6">
        <v>171.13</v>
      </c>
      <c r="E306" s="6">
        <v>0</v>
      </c>
      <c r="F306" s="6">
        <f>D306+E306</f>
        <v>171.13</v>
      </c>
      <c r="G306" s="5" t="s">
        <v>3</v>
      </c>
      <c r="H306" s="5" t="s">
        <v>3</v>
      </c>
    </row>
    <row r="307" spans="1:8" x14ac:dyDescent="0.25">
      <c r="A307" s="5" t="s">
        <v>3</v>
      </c>
      <c r="B307" s="5" t="s">
        <v>3</v>
      </c>
      <c r="C307" s="5" t="s">
        <v>744</v>
      </c>
      <c r="D307" s="6">
        <v>35.9</v>
      </c>
      <c r="E307" s="6">
        <v>0</v>
      </c>
      <c r="F307" s="6">
        <f>D307+E307</f>
        <v>35.9</v>
      </c>
      <c r="G307" s="5" t="s">
        <v>3</v>
      </c>
      <c r="H307" s="5" t="s">
        <v>3</v>
      </c>
    </row>
    <row r="308" spans="1:8" x14ac:dyDescent="0.25">
      <c r="A308" s="5" t="s">
        <v>3</v>
      </c>
      <c r="B308" s="5" t="s">
        <v>3</v>
      </c>
      <c r="C308" s="5" t="s">
        <v>298</v>
      </c>
      <c r="D308" s="6">
        <v>27.69</v>
      </c>
      <c r="E308" s="6">
        <v>0</v>
      </c>
      <c r="F308" s="6">
        <f>D308+E308</f>
        <v>27.69</v>
      </c>
      <c r="G308" s="5" t="s">
        <v>3</v>
      </c>
      <c r="H308" s="5" t="s">
        <v>3</v>
      </c>
    </row>
    <row r="309" spans="1:8" x14ac:dyDescent="0.25">
      <c r="A309" s="24" t="s">
        <v>460</v>
      </c>
      <c r="B309" s="24" t="s">
        <v>461</v>
      </c>
      <c r="C309" s="24" t="s">
        <v>499</v>
      </c>
      <c r="D309" s="27">
        <f>SUM(D310:D311)</f>
        <v>-2131</v>
      </c>
      <c r="E309" s="27">
        <f>SUM(E310:E311)</f>
        <v>0</v>
      </c>
      <c r="F309" s="27">
        <f>SUM(F310:F311)</f>
        <v>-2131</v>
      </c>
      <c r="G309" s="24" t="s">
        <v>3</v>
      </c>
      <c r="H309" s="24" t="s">
        <v>3</v>
      </c>
    </row>
    <row r="310" spans="1:8" x14ac:dyDescent="0.25">
      <c r="A310" s="5" t="s">
        <v>3</v>
      </c>
      <c r="B310" s="5" t="s">
        <v>3</v>
      </c>
      <c r="C310" s="5" t="s">
        <v>1271</v>
      </c>
      <c r="D310" s="6">
        <v>-2500</v>
      </c>
      <c r="E310" s="6">
        <v>0</v>
      </c>
      <c r="F310" s="6">
        <f>D310+E310</f>
        <v>-2500</v>
      </c>
      <c r="G310" s="5" t="s">
        <v>3</v>
      </c>
      <c r="H310" s="5" t="s">
        <v>719</v>
      </c>
    </row>
    <row r="311" spans="1:8" x14ac:dyDescent="0.25">
      <c r="A311" s="5" t="s">
        <v>3</v>
      </c>
      <c r="B311" s="5" t="s">
        <v>3</v>
      </c>
      <c r="C311" s="5" t="s">
        <v>1225</v>
      </c>
      <c r="D311" s="6">
        <v>369</v>
      </c>
      <c r="E311" s="6">
        <v>0</v>
      </c>
      <c r="F311" s="6">
        <f>D311+E311</f>
        <v>369</v>
      </c>
      <c r="G311" s="5" t="s">
        <v>3</v>
      </c>
      <c r="H311" s="5" t="s">
        <v>3</v>
      </c>
    </row>
    <row r="312" spans="1:8" x14ac:dyDescent="0.25">
      <c r="A312" s="24" t="s">
        <v>462</v>
      </c>
      <c r="B312" s="24" t="s">
        <v>463</v>
      </c>
      <c r="C312" s="24" t="s">
        <v>499</v>
      </c>
      <c r="D312" s="27">
        <f>SUM(D313:D316)</f>
        <v>2580</v>
      </c>
      <c r="E312" s="27">
        <f>SUM(E313:E316)</f>
        <v>0</v>
      </c>
      <c r="F312" s="27">
        <f>SUM(F313:F316)</f>
        <v>2580</v>
      </c>
      <c r="G312" s="24" t="s">
        <v>3</v>
      </c>
      <c r="H312" s="24" t="s">
        <v>3</v>
      </c>
    </row>
    <row r="313" spans="1:8" x14ac:dyDescent="0.25">
      <c r="A313" s="5" t="s">
        <v>3</v>
      </c>
      <c r="B313" s="5" t="s">
        <v>3</v>
      </c>
      <c r="C313" s="5" t="s">
        <v>747</v>
      </c>
      <c r="D313" s="6">
        <v>3600</v>
      </c>
      <c r="E313" s="6">
        <v>0</v>
      </c>
      <c r="F313" s="6">
        <f>D313+E313</f>
        <v>3600</v>
      </c>
      <c r="G313" s="5" t="s">
        <v>3</v>
      </c>
      <c r="H313" s="5" t="s">
        <v>3</v>
      </c>
    </row>
    <row r="314" spans="1:8" x14ac:dyDescent="0.25">
      <c r="A314" s="5" t="s">
        <v>3</v>
      </c>
      <c r="B314" s="5" t="s">
        <v>3</v>
      </c>
      <c r="C314" s="5" t="s">
        <v>863</v>
      </c>
      <c r="D314" s="6">
        <v>-2060</v>
      </c>
      <c r="E314" s="6">
        <v>0</v>
      </c>
      <c r="F314" s="6">
        <f>D314+E314</f>
        <v>-2060</v>
      </c>
      <c r="G314" s="5" t="s">
        <v>3</v>
      </c>
      <c r="H314" s="5" t="s">
        <v>3</v>
      </c>
    </row>
    <row r="315" spans="1:8" x14ac:dyDescent="0.25">
      <c r="A315" s="5" t="s">
        <v>3</v>
      </c>
      <c r="B315" s="5" t="s">
        <v>3</v>
      </c>
      <c r="C315" s="5" t="s">
        <v>1272</v>
      </c>
      <c r="D315" s="6">
        <v>520</v>
      </c>
      <c r="E315" s="6">
        <v>0</v>
      </c>
      <c r="F315" s="6">
        <f>D315+E315</f>
        <v>520</v>
      </c>
      <c r="G315" s="5" t="s">
        <v>3</v>
      </c>
      <c r="H315" s="5" t="s">
        <v>3</v>
      </c>
    </row>
    <row r="316" spans="1:8" x14ac:dyDescent="0.25">
      <c r="A316" s="5" t="s">
        <v>3</v>
      </c>
      <c r="B316" s="5" t="s">
        <v>3</v>
      </c>
      <c r="C316" s="5" t="s">
        <v>1273</v>
      </c>
      <c r="D316" s="6">
        <v>520</v>
      </c>
      <c r="E316" s="6">
        <v>0</v>
      </c>
      <c r="F316" s="6">
        <f>D316+E316</f>
        <v>520</v>
      </c>
      <c r="G316" s="5" t="s">
        <v>3</v>
      </c>
      <c r="H316" s="5" t="s">
        <v>3</v>
      </c>
    </row>
    <row r="317" spans="1:8" x14ac:dyDescent="0.25">
      <c r="A317" s="24" t="s">
        <v>464</v>
      </c>
      <c r="B317" s="24" t="s">
        <v>465</v>
      </c>
      <c r="C317" s="24" t="s">
        <v>499</v>
      </c>
      <c r="D317" s="27">
        <f>SUM(D318:D319)</f>
        <v>13889.39</v>
      </c>
      <c r="E317" s="27">
        <f>SUM(E318:E319)</f>
        <v>0</v>
      </c>
      <c r="F317" s="27">
        <f>SUM(F318:F319)</f>
        <v>13889.39</v>
      </c>
      <c r="G317" s="24" t="s">
        <v>3</v>
      </c>
      <c r="H317" s="24" t="s">
        <v>3</v>
      </c>
    </row>
    <row r="318" spans="1:8" x14ac:dyDescent="0.25">
      <c r="A318" s="5" t="s">
        <v>3</v>
      </c>
      <c r="B318" s="5" t="s">
        <v>3</v>
      </c>
      <c r="C318" s="5" t="s">
        <v>146</v>
      </c>
      <c r="D318" s="6">
        <v>17969.39</v>
      </c>
      <c r="E318" s="6">
        <v>0</v>
      </c>
      <c r="F318" s="6">
        <f>D318+E318</f>
        <v>17969.39</v>
      </c>
      <c r="G318" s="5" t="s">
        <v>3</v>
      </c>
      <c r="H318" s="5" t="s">
        <v>3</v>
      </c>
    </row>
    <row r="319" spans="1:8" x14ac:dyDescent="0.25">
      <c r="A319" s="5" t="s">
        <v>3</v>
      </c>
      <c r="B319" s="5" t="s">
        <v>3</v>
      </c>
      <c r="C319" s="5" t="s">
        <v>1274</v>
      </c>
      <c r="D319" s="6">
        <v>-4080</v>
      </c>
      <c r="E319" s="6">
        <v>0</v>
      </c>
      <c r="F319" s="6">
        <f>D319+E319</f>
        <v>-4080</v>
      </c>
      <c r="G319" s="5" t="s">
        <v>3</v>
      </c>
      <c r="H319" s="5" t="s">
        <v>1275</v>
      </c>
    </row>
    <row r="320" spans="1:8" x14ac:dyDescent="0.25">
      <c r="A320" s="24" t="s">
        <v>466</v>
      </c>
      <c r="B320" s="24" t="s">
        <v>467</v>
      </c>
      <c r="C320" s="24" t="s">
        <v>499</v>
      </c>
      <c r="D320" s="27">
        <f>SUM(D321:D321)</f>
        <v>1500.01</v>
      </c>
      <c r="E320" s="27">
        <f>SUM(E321:E321)</f>
        <v>0</v>
      </c>
      <c r="F320" s="27">
        <f>SUM(F321:F321)</f>
        <v>1500.01</v>
      </c>
      <c r="G320" s="24" t="s">
        <v>3</v>
      </c>
      <c r="H320" s="24" t="s">
        <v>3</v>
      </c>
    </row>
    <row r="321" spans="1:8" x14ac:dyDescent="0.25">
      <c r="A321" s="5" t="s">
        <v>3</v>
      </c>
      <c r="B321" s="5" t="s">
        <v>3</v>
      </c>
      <c r="C321" s="5" t="s">
        <v>1276</v>
      </c>
      <c r="D321" s="6">
        <v>1500.01</v>
      </c>
      <c r="E321" s="6">
        <v>0</v>
      </c>
      <c r="F321" s="6">
        <f>D321+E321</f>
        <v>1500.01</v>
      </c>
      <c r="G321" s="5" t="s">
        <v>3</v>
      </c>
      <c r="H321" s="5" t="s">
        <v>3</v>
      </c>
    </row>
    <row r="322" spans="1:8" x14ac:dyDescent="0.25">
      <c r="A322" s="24" t="s">
        <v>472</v>
      </c>
      <c r="B322" s="24" t="s">
        <v>473</v>
      </c>
      <c r="C322" s="24" t="s">
        <v>499</v>
      </c>
      <c r="D322" s="27">
        <f>SUM(D323:D324)</f>
        <v>35449.9</v>
      </c>
      <c r="E322" s="27">
        <f>SUM(E323:E324)</f>
        <v>0</v>
      </c>
      <c r="F322" s="27">
        <f>SUM(F323:F324)</f>
        <v>35449.9</v>
      </c>
      <c r="G322" s="24" t="s">
        <v>3</v>
      </c>
      <c r="H322" s="24" t="s">
        <v>3</v>
      </c>
    </row>
    <row r="323" spans="1:8" x14ac:dyDescent="0.25">
      <c r="A323" s="5" t="s">
        <v>3</v>
      </c>
      <c r="B323" s="5" t="s">
        <v>3</v>
      </c>
      <c r="C323" s="5" t="s">
        <v>1277</v>
      </c>
      <c r="D323" s="6">
        <v>35000</v>
      </c>
      <c r="E323" s="6">
        <v>0</v>
      </c>
      <c r="F323" s="6">
        <f>D323+E323</f>
        <v>35000</v>
      </c>
      <c r="G323" s="5" t="s">
        <v>3</v>
      </c>
      <c r="H323" s="5" t="s">
        <v>3</v>
      </c>
    </row>
    <row r="324" spans="1:8" x14ac:dyDescent="0.25">
      <c r="A324" s="5" t="s">
        <v>3</v>
      </c>
      <c r="B324" s="5" t="s">
        <v>3</v>
      </c>
      <c r="C324" s="5" t="s">
        <v>1278</v>
      </c>
      <c r="D324" s="6">
        <v>449.9</v>
      </c>
      <c r="E324" s="6">
        <v>0</v>
      </c>
      <c r="F324" s="6">
        <f>D324+E324</f>
        <v>449.9</v>
      </c>
      <c r="G324" s="5" t="s">
        <v>3</v>
      </c>
      <c r="H324" s="5" t="s">
        <v>3</v>
      </c>
    </row>
    <row r="325" spans="1:8" x14ac:dyDescent="0.25">
      <c r="A325" s="24" t="s">
        <v>474</v>
      </c>
      <c r="B325" s="24" t="s">
        <v>475</v>
      </c>
      <c r="C325" s="24" t="s">
        <v>499</v>
      </c>
      <c r="D325" s="27">
        <f>SUM(D326:D330)</f>
        <v>1940.65</v>
      </c>
      <c r="E325" s="27">
        <f>SUM(E326:E330)</f>
        <v>0</v>
      </c>
      <c r="F325" s="27">
        <f>SUM(F326:F330)</f>
        <v>1940.65</v>
      </c>
      <c r="G325" s="24" t="s">
        <v>3</v>
      </c>
      <c r="H325" s="24" t="s">
        <v>3</v>
      </c>
    </row>
    <row r="326" spans="1:8" x14ac:dyDescent="0.25">
      <c r="A326" s="5" t="s">
        <v>3</v>
      </c>
      <c r="B326" s="5" t="s">
        <v>3</v>
      </c>
      <c r="C326" s="5" t="s">
        <v>1279</v>
      </c>
      <c r="D326" s="6">
        <v>880</v>
      </c>
      <c r="E326" s="6">
        <v>0</v>
      </c>
      <c r="F326" s="6">
        <f>D326+E326</f>
        <v>880</v>
      </c>
      <c r="G326" s="5" t="s">
        <v>3</v>
      </c>
      <c r="H326" s="5" t="s">
        <v>3</v>
      </c>
    </row>
    <row r="327" spans="1:8" x14ac:dyDescent="0.25">
      <c r="A327" s="5" t="s">
        <v>3</v>
      </c>
      <c r="B327" s="5" t="s">
        <v>3</v>
      </c>
      <c r="C327" s="5" t="s">
        <v>627</v>
      </c>
      <c r="D327" s="6">
        <v>402.15</v>
      </c>
      <c r="E327" s="6">
        <v>0</v>
      </c>
      <c r="F327" s="6">
        <f>D327+E327</f>
        <v>402.15</v>
      </c>
      <c r="G327" s="5" t="s">
        <v>3</v>
      </c>
      <c r="H327" s="5" t="s">
        <v>3</v>
      </c>
    </row>
    <row r="328" spans="1:8" x14ac:dyDescent="0.25">
      <c r="A328" s="5" t="s">
        <v>3</v>
      </c>
      <c r="B328" s="5" t="s">
        <v>3</v>
      </c>
      <c r="C328" s="5" t="s">
        <v>1280</v>
      </c>
      <c r="D328" s="6">
        <v>352</v>
      </c>
      <c r="E328" s="6">
        <v>0</v>
      </c>
      <c r="F328" s="6">
        <f>D328+E328</f>
        <v>352</v>
      </c>
      <c r="G328" s="5" t="s">
        <v>3</v>
      </c>
      <c r="H328" s="5" t="s">
        <v>3</v>
      </c>
    </row>
    <row r="329" spans="1:8" x14ac:dyDescent="0.25">
      <c r="A329" s="5" t="s">
        <v>3</v>
      </c>
      <c r="B329" s="5" t="s">
        <v>3</v>
      </c>
      <c r="C329" s="5" t="s">
        <v>42</v>
      </c>
      <c r="D329" s="6">
        <v>303</v>
      </c>
      <c r="E329" s="6">
        <v>0</v>
      </c>
      <c r="F329" s="6">
        <f>D329+E329</f>
        <v>303</v>
      </c>
      <c r="G329" s="5" t="s">
        <v>3</v>
      </c>
      <c r="H329" s="5" t="s">
        <v>3</v>
      </c>
    </row>
    <row r="330" spans="1:8" x14ac:dyDescent="0.25">
      <c r="A330" s="5" t="s">
        <v>3</v>
      </c>
      <c r="B330" s="5" t="s">
        <v>3</v>
      </c>
      <c r="C330" s="5" t="s">
        <v>759</v>
      </c>
      <c r="D330" s="6">
        <v>3.5</v>
      </c>
      <c r="E330" s="6">
        <v>0</v>
      </c>
      <c r="F330" s="6">
        <f>D330+E330</f>
        <v>3.5</v>
      </c>
      <c r="G330" s="5" t="s">
        <v>3</v>
      </c>
      <c r="H330" s="5" t="s">
        <v>3</v>
      </c>
    </row>
    <row r="331" spans="1:8" x14ac:dyDescent="0.25">
      <c r="A331" s="24" t="s">
        <v>476</v>
      </c>
      <c r="B331" s="24" t="s">
        <v>477</v>
      </c>
      <c r="C331" s="24" t="s">
        <v>499</v>
      </c>
      <c r="D331" s="27">
        <f>SUM(D332:D332)</f>
        <v>336.78</v>
      </c>
      <c r="E331" s="27">
        <f>SUM(E332:E332)</f>
        <v>-336.78</v>
      </c>
      <c r="F331" s="27">
        <f>SUM(F332:F332)</f>
        <v>0</v>
      </c>
      <c r="G331" s="24" t="s">
        <v>3</v>
      </c>
      <c r="H331" s="24" t="s">
        <v>3</v>
      </c>
    </row>
    <row r="332" spans="1:8" x14ac:dyDescent="0.25">
      <c r="A332" s="5" t="s">
        <v>3</v>
      </c>
      <c r="B332" s="5" t="s">
        <v>3</v>
      </c>
      <c r="C332" s="5" t="s">
        <v>251</v>
      </c>
      <c r="D332" s="6">
        <v>336.78</v>
      </c>
      <c r="E332" s="28">
        <v>-336.78</v>
      </c>
      <c r="F332" s="6">
        <f>D332+E332</f>
        <v>0</v>
      </c>
      <c r="G332" s="22" t="s">
        <v>1281</v>
      </c>
      <c r="H332" s="5" t="s">
        <v>3</v>
      </c>
    </row>
    <row r="333" spans="1:8" x14ac:dyDescent="0.25">
      <c r="A333" s="24" t="s">
        <v>478</v>
      </c>
      <c r="B333" s="24" t="s">
        <v>477</v>
      </c>
      <c r="C333" s="24" t="s">
        <v>499</v>
      </c>
      <c r="D333" s="27">
        <f>SUM(D334:D341)</f>
        <v>17434.34</v>
      </c>
      <c r="E333" s="27">
        <f>SUM(E334:E341)</f>
        <v>-17434.34</v>
      </c>
      <c r="F333" s="27">
        <f>SUM(F334:F341)</f>
        <v>0</v>
      </c>
      <c r="G333" s="24" t="s">
        <v>3</v>
      </c>
      <c r="H333" s="24" t="s">
        <v>3</v>
      </c>
    </row>
    <row r="334" spans="1:8" x14ac:dyDescent="0.25">
      <c r="A334" s="5" t="s">
        <v>3</v>
      </c>
      <c r="B334" s="5" t="s">
        <v>3</v>
      </c>
      <c r="C334" s="5" t="s">
        <v>233</v>
      </c>
      <c r="D334" s="6">
        <v>3000</v>
      </c>
      <c r="E334" s="28">
        <v>-3000</v>
      </c>
      <c r="F334" s="6">
        <f>D334+E334</f>
        <v>0</v>
      </c>
      <c r="G334" s="22" t="s">
        <v>1282</v>
      </c>
      <c r="H334" s="5" t="s">
        <v>3</v>
      </c>
    </row>
    <row r="335" spans="1:8" x14ac:dyDescent="0.25">
      <c r="A335" s="5" t="s">
        <v>3</v>
      </c>
      <c r="B335" s="5" t="s">
        <v>3</v>
      </c>
      <c r="C335" s="5" t="s">
        <v>236</v>
      </c>
      <c r="D335" s="6">
        <v>3000</v>
      </c>
      <c r="E335" s="28">
        <v>-3000</v>
      </c>
      <c r="F335" s="6">
        <f>D335+E335</f>
        <v>0</v>
      </c>
      <c r="G335" s="22" t="s">
        <v>1283</v>
      </c>
      <c r="H335" s="5" t="s">
        <v>3</v>
      </c>
    </row>
    <row r="336" spans="1:8" x14ac:dyDescent="0.25">
      <c r="A336" s="5" t="s">
        <v>3</v>
      </c>
      <c r="B336" s="5" t="s">
        <v>3</v>
      </c>
      <c r="C336" s="5" t="s">
        <v>237</v>
      </c>
      <c r="D336" s="6">
        <v>3000</v>
      </c>
      <c r="E336" s="28">
        <v>-3000</v>
      </c>
      <c r="F336" s="6">
        <f>D336+E336</f>
        <v>0</v>
      </c>
      <c r="G336" s="22" t="s">
        <v>1284</v>
      </c>
      <c r="H336" s="5" t="s">
        <v>3</v>
      </c>
    </row>
    <row r="337" spans="1:8" x14ac:dyDescent="0.25">
      <c r="A337" s="5" t="s">
        <v>3</v>
      </c>
      <c r="B337" s="5" t="s">
        <v>3</v>
      </c>
      <c r="C337" s="5" t="s">
        <v>238</v>
      </c>
      <c r="D337" s="6">
        <v>2500</v>
      </c>
      <c r="E337" s="28">
        <v>-2500</v>
      </c>
      <c r="F337" s="6">
        <f>D337+E337</f>
        <v>0</v>
      </c>
      <c r="G337" s="22" t="s">
        <v>1285</v>
      </c>
      <c r="H337" s="5" t="s">
        <v>3</v>
      </c>
    </row>
    <row r="338" spans="1:8" x14ac:dyDescent="0.25">
      <c r="A338" s="5" t="s">
        <v>3</v>
      </c>
      <c r="B338" s="5" t="s">
        <v>3</v>
      </c>
      <c r="C338" s="5" t="s">
        <v>240</v>
      </c>
      <c r="D338" s="6">
        <v>2000</v>
      </c>
      <c r="E338" s="28">
        <v>-2000</v>
      </c>
      <c r="F338" s="6">
        <f>D338+E338</f>
        <v>0</v>
      </c>
      <c r="G338" s="22" t="s">
        <v>1286</v>
      </c>
      <c r="H338" s="5" t="s">
        <v>3</v>
      </c>
    </row>
    <row r="339" spans="1:8" x14ac:dyDescent="0.25">
      <c r="A339" s="5" t="s">
        <v>3</v>
      </c>
      <c r="B339" s="5" t="s">
        <v>3</v>
      </c>
      <c r="C339" s="5" t="s">
        <v>242</v>
      </c>
      <c r="D339" s="6">
        <v>1555</v>
      </c>
      <c r="E339" s="28">
        <v>-1555</v>
      </c>
      <c r="F339" s="6">
        <f>D339+E339</f>
        <v>0</v>
      </c>
      <c r="G339" s="22" t="s">
        <v>1287</v>
      </c>
      <c r="H339" s="5" t="s">
        <v>3</v>
      </c>
    </row>
    <row r="340" spans="1:8" x14ac:dyDescent="0.25">
      <c r="A340" s="5" t="s">
        <v>3</v>
      </c>
      <c r="B340" s="5" t="s">
        <v>3</v>
      </c>
      <c r="C340" s="5" t="s">
        <v>244</v>
      </c>
      <c r="D340" s="6">
        <v>1237.8</v>
      </c>
      <c r="E340" s="28">
        <v>-1237.8</v>
      </c>
      <c r="F340" s="6">
        <f>D340+E340</f>
        <v>0</v>
      </c>
      <c r="G340" s="22" t="s">
        <v>1288</v>
      </c>
      <c r="H340" s="5" t="s">
        <v>3</v>
      </c>
    </row>
    <row r="341" spans="1:8" x14ac:dyDescent="0.25">
      <c r="A341" s="5" t="s">
        <v>3</v>
      </c>
      <c r="B341" s="5" t="s">
        <v>3</v>
      </c>
      <c r="C341" s="5" t="s">
        <v>246</v>
      </c>
      <c r="D341" s="6">
        <v>1141.54</v>
      </c>
      <c r="E341" s="28">
        <v>-1141.54</v>
      </c>
      <c r="F341" s="6">
        <f>D341+E341</f>
        <v>0</v>
      </c>
      <c r="G341" s="22" t="s">
        <v>1289</v>
      </c>
      <c r="H341" s="5" t="s">
        <v>3</v>
      </c>
    </row>
    <row r="342" spans="1:8" x14ac:dyDescent="0.25">
      <c r="A342" s="24" t="s">
        <v>481</v>
      </c>
      <c r="B342" s="24" t="s">
        <v>482</v>
      </c>
      <c r="C342" s="24" t="s">
        <v>499</v>
      </c>
      <c r="D342" s="27">
        <f>SUM(D343:D347)</f>
        <v>2493.74</v>
      </c>
      <c r="E342" s="27">
        <f>SUM(E343:E347)</f>
        <v>0</v>
      </c>
      <c r="F342" s="27">
        <f>SUM(F343:F347)</f>
        <v>2493.74</v>
      </c>
      <c r="G342" s="24" t="s">
        <v>3</v>
      </c>
      <c r="H342" s="24" t="s">
        <v>3</v>
      </c>
    </row>
    <row r="343" spans="1:8" x14ac:dyDescent="0.25">
      <c r="A343" s="5" t="s">
        <v>3</v>
      </c>
      <c r="B343" s="5" t="s">
        <v>3</v>
      </c>
      <c r="C343" s="5" t="s">
        <v>1290</v>
      </c>
      <c r="D343" s="6">
        <v>874.52</v>
      </c>
      <c r="E343" s="6">
        <v>0</v>
      </c>
      <c r="F343" s="6">
        <f>D343+E343</f>
        <v>874.52</v>
      </c>
      <c r="G343" s="5" t="s">
        <v>3</v>
      </c>
      <c r="H343" s="5" t="s">
        <v>3</v>
      </c>
    </row>
    <row r="344" spans="1:8" x14ac:dyDescent="0.25">
      <c r="A344" s="5" t="s">
        <v>3</v>
      </c>
      <c r="B344" s="5" t="s">
        <v>3</v>
      </c>
      <c r="C344" s="5" t="s">
        <v>1291</v>
      </c>
      <c r="D344" s="6">
        <v>814.8</v>
      </c>
      <c r="E344" s="6">
        <v>0</v>
      </c>
      <c r="F344" s="6">
        <f>D344+E344</f>
        <v>814.8</v>
      </c>
      <c r="G344" s="5" t="s">
        <v>3</v>
      </c>
      <c r="H344" s="5" t="s">
        <v>3</v>
      </c>
    </row>
    <row r="345" spans="1:8" x14ac:dyDescent="0.25">
      <c r="A345" s="5" t="s">
        <v>3</v>
      </c>
      <c r="B345" s="5" t="s">
        <v>3</v>
      </c>
      <c r="C345" s="5" t="s">
        <v>1292</v>
      </c>
      <c r="D345" s="6">
        <v>351</v>
      </c>
      <c r="E345" s="6">
        <v>0</v>
      </c>
      <c r="F345" s="6">
        <f>D345+E345</f>
        <v>351</v>
      </c>
      <c r="G345" s="5" t="s">
        <v>3</v>
      </c>
      <c r="H345" s="5" t="s">
        <v>3</v>
      </c>
    </row>
    <row r="346" spans="1:8" x14ac:dyDescent="0.25">
      <c r="A346" s="5" t="s">
        <v>3</v>
      </c>
      <c r="B346" s="5" t="s">
        <v>3</v>
      </c>
      <c r="C346" s="5" t="s">
        <v>1293</v>
      </c>
      <c r="D346" s="6">
        <v>243.9</v>
      </c>
      <c r="E346" s="6">
        <v>0</v>
      </c>
      <c r="F346" s="6">
        <f>D346+E346</f>
        <v>243.9</v>
      </c>
      <c r="G346" s="5" t="s">
        <v>3</v>
      </c>
      <c r="H346" s="5" t="s">
        <v>3</v>
      </c>
    </row>
    <row r="347" spans="1:8" x14ac:dyDescent="0.25">
      <c r="A347" s="5" t="s">
        <v>3</v>
      </c>
      <c r="B347" s="5" t="s">
        <v>3</v>
      </c>
      <c r="C347" s="5" t="s">
        <v>1294</v>
      </c>
      <c r="D347" s="6">
        <v>209.52</v>
      </c>
      <c r="E347" s="6">
        <v>0</v>
      </c>
      <c r="F347" s="6">
        <f>D347+E347</f>
        <v>209.52</v>
      </c>
      <c r="G347" s="5" t="s">
        <v>3</v>
      </c>
      <c r="H347" s="5" t="s">
        <v>3</v>
      </c>
    </row>
    <row r="349" spans="1:8" x14ac:dyDescent="0.25">
      <c r="A349" s="13" t="s">
        <v>3</v>
      </c>
      <c r="B349" s="13" t="s">
        <v>3</v>
      </c>
      <c r="C349" s="13" t="s">
        <v>484</v>
      </c>
      <c r="D349" s="14">
        <f>D5+D41+D43+D50+D72</f>
        <v>779107.5</v>
      </c>
      <c r="E349" s="14">
        <f>E5+E41+E43+E50+E72</f>
        <v>532804.28</v>
      </c>
      <c r="F349" s="14">
        <f>F5+F41+F43+F50+F72</f>
        <v>1311911.78</v>
      </c>
      <c r="G349" s="13" t="s">
        <v>3</v>
      </c>
      <c r="H349" s="13" t="s">
        <v>3</v>
      </c>
    </row>
    <row r="350" spans="1:8" x14ac:dyDescent="0.25">
      <c r="A350" s="13" t="s">
        <v>3</v>
      </c>
      <c r="B350" s="13" t="s">
        <v>3</v>
      </c>
      <c r="C350" s="13" t="s">
        <v>485</v>
      </c>
      <c r="D350" s="14">
        <f>D86+D88+D90+D93+D100+D137+D141+D144+D146+D152+D160+D166+D173+D177+D179+D182+D185+D190+D194+D200+D203+D205+D207+D219+D221+D223+D225+D227+D229+D232+D235+D237+D309+D312+D317+D320+D322+D325+D331+D333+D342</f>
        <v>3273376.19</v>
      </c>
      <c r="E350" s="14">
        <f>E86+E88+E90+E93+E100+E137+E141+E144+E146+E152+E160+E166+E173+E177+E179+E182+E185+E190+E194+E200+E203+E205+E207+E219+E221+E223+E225+E227+E229+E232+E235+E237+E309+E312+E317+E320+E322+E325+E331+E333+E342</f>
        <v>-270171.26</v>
      </c>
      <c r="F350" s="14">
        <f>F86+F88+F90+F93+F100+F137+F141+F144+F146+F152+F160+F166+F173+F177+F179+F182+F185+F190+F194+F200+F203+F205+F207+F219+F221+F223+F225+F227+F229+F232+F235+F237+F309+F312+F317+F320+F322+F325+F331+F333+F342</f>
        <v>3003204.93</v>
      </c>
      <c r="G350" s="13" t="s">
        <v>3</v>
      </c>
      <c r="H350" s="13" t="s">
        <v>3</v>
      </c>
    </row>
    <row r="351" spans="1:8" x14ac:dyDescent="0.25">
      <c r="A351" s="19" t="s">
        <v>3</v>
      </c>
      <c r="B351" s="19" t="s">
        <v>3</v>
      </c>
      <c r="C351" s="19" t="s">
        <v>773</v>
      </c>
      <c r="D351" s="20">
        <f>D349+D350</f>
        <v>4052483.69</v>
      </c>
      <c r="E351" s="20">
        <f>E349+E350</f>
        <v>262633.02</v>
      </c>
      <c r="F351" s="20">
        <f>F349+F350</f>
        <v>4315116.71</v>
      </c>
      <c r="G351" s="19" t="s">
        <v>3</v>
      </c>
      <c r="H351" s="19" t="s">
        <v>3</v>
      </c>
    </row>
  </sheetData>
  <autoFilter ref="A4:H347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6" customWidth="1"/>
    <col min="4" max="4" width="15" customWidth="1"/>
    <col min="5" max="5" width="14" customWidth="1"/>
    <col min="6" max="6" width="15" customWidth="1"/>
    <col min="7" max="7" width="11" customWidth="1"/>
    <col min="8" max="8" width="70" customWidth="1"/>
  </cols>
  <sheetData>
    <row r="1" ht="26" customHeight="1" spans="1:8" x14ac:dyDescent="0.25">
      <c r="A1" s="1" t="s">
        <v>1295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493</v>
      </c>
      <c r="B2" s="2"/>
      <c r="C2" s="2"/>
      <c r="D2" s="2"/>
      <c r="E2" s="2"/>
      <c r="F2" s="2"/>
      <c r="G2" s="2"/>
      <c r="H2" s="2"/>
    </row>
    <row r="4" ht="30" customHeight="1" spans="1:8" x14ac:dyDescent="0.25">
      <c r="A4" s="4" t="s">
        <v>360</v>
      </c>
      <c r="B4" s="4" t="s">
        <v>361</v>
      </c>
      <c r="C4" s="4" t="s">
        <v>34</v>
      </c>
      <c r="D4" s="4" t="s">
        <v>494</v>
      </c>
      <c r="E4" s="4" t="s">
        <v>495</v>
      </c>
      <c r="F4" s="4" t="s">
        <v>496</v>
      </c>
      <c r="G4" s="4" t="s">
        <v>497</v>
      </c>
      <c r="H4" s="4" t="s">
        <v>498</v>
      </c>
    </row>
    <row r="5" spans="1:8" x14ac:dyDescent="0.25">
      <c r="A5" s="24" t="s">
        <v>362</v>
      </c>
      <c r="B5" s="24" t="s">
        <v>363</v>
      </c>
      <c r="C5" s="24" t="s">
        <v>499</v>
      </c>
      <c r="D5" s="27">
        <f>SUM(D6:D41)</f>
        <v>390953.79</v>
      </c>
      <c r="E5" s="27">
        <f>SUM(E6:E41)</f>
        <v>134097.74</v>
      </c>
      <c r="F5" s="27">
        <f>SUM(F6:F41)</f>
        <v>525051.53</v>
      </c>
      <c r="G5" s="24" t="s">
        <v>3</v>
      </c>
      <c r="H5" s="24" t="s">
        <v>3</v>
      </c>
    </row>
    <row r="6" spans="1:8" x14ac:dyDescent="0.25">
      <c r="A6" s="5" t="s">
        <v>3</v>
      </c>
      <c r="B6" s="5" t="s">
        <v>3</v>
      </c>
      <c r="C6" s="5" t="s">
        <v>128</v>
      </c>
      <c r="D6" s="6">
        <v>0</v>
      </c>
      <c r="E6" s="14">
        <v>52000</v>
      </c>
      <c r="F6" s="6">
        <f>D6+E6</f>
        <v>52000</v>
      </c>
      <c r="G6" s="15" t="s">
        <v>1296</v>
      </c>
      <c r="H6" s="5" t="s">
        <v>3</v>
      </c>
    </row>
    <row r="7" spans="1:8" x14ac:dyDescent="0.25">
      <c r="A7" s="5" t="s">
        <v>3</v>
      </c>
      <c r="B7" s="5" t="s">
        <v>3</v>
      </c>
      <c r="C7" s="5" t="s">
        <v>126</v>
      </c>
      <c r="D7" s="6">
        <v>0</v>
      </c>
      <c r="E7" s="14">
        <v>30000</v>
      </c>
      <c r="F7" s="6">
        <f>D7+E7</f>
        <v>30000</v>
      </c>
      <c r="G7" s="15" t="s">
        <v>1297</v>
      </c>
      <c r="H7" s="5" t="s">
        <v>3</v>
      </c>
    </row>
    <row r="8" spans="1:8" x14ac:dyDescent="0.25">
      <c r="A8" s="5" t="s">
        <v>3</v>
      </c>
      <c r="B8" s="5" t="s">
        <v>3</v>
      </c>
      <c r="C8" s="5" t="s">
        <v>72</v>
      </c>
      <c r="D8" s="6">
        <v>0</v>
      </c>
      <c r="E8" s="14">
        <v>22000</v>
      </c>
      <c r="F8" s="6">
        <f>D8+E8</f>
        <v>22000</v>
      </c>
      <c r="G8" s="15" t="s">
        <v>1298</v>
      </c>
      <c r="H8" s="5" t="s">
        <v>3</v>
      </c>
    </row>
    <row r="9" spans="1:8" x14ac:dyDescent="0.25">
      <c r="A9" s="5" t="s">
        <v>3</v>
      </c>
      <c r="B9" s="5" t="s">
        <v>3</v>
      </c>
      <c r="C9" s="5" t="s">
        <v>136</v>
      </c>
      <c r="D9" s="6">
        <v>0</v>
      </c>
      <c r="E9" s="14">
        <v>21280</v>
      </c>
      <c r="F9" s="6">
        <f>D9+E9</f>
        <v>21280</v>
      </c>
      <c r="G9" s="15" t="s">
        <v>1299</v>
      </c>
      <c r="H9" s="5" t="s">
        <v>3</v>
      </c>
    </row>
    <row r="10" spans="1:8" x14ac:dyDescent="0.25">
      <c r="A10" s="5" t="s">
        <v>3</v>
      </c>
      <c r="B10" s="5" t="s">
        <v>3</v>
      </c>
      <c r="C10" s="5" t="s">
        <v>308</v>
      </c>
      <c r="D10" s="6">
        <v>0</v>
      </c>
      <c r="E10" s="29">
        <v>10000</v>
      </c>
      <c r="F10" s="6">
        <f>D10+E10</f>
        <v>10000</v>
      </c>
      <c r="G10" s="23" t="s">
        <v>1300</v>
      </c>
      <c r="H10" s="5" t="s">
        <v>3</v>
      </c>
    </row>
    <row r="11" spans="1:8" x14ac:dyDescent="0.25">
      <c r="A11" s="5" t="s">
        <v>3</v>
      </c>
      <c r="B11" s="5" t="s">
        <v>3</v>
      </c>
      <c r="C11" s="5" t="s">
        <v>285</v>
      </c>
      <c r="D11" s="6">
        <v>29032.26</v>
      </c>
      <c r="E11" s="28">
        <v>-9032.26</v>
      </c>
      <c r="F11" s="6">
        <f>D11+E11</f>
        <v>20000</v>
      </c>
      <c r="G11" s="22" t="s">
        <v>1301</v>
      </c>
      <c r="H11" s="5" t="s">
        <v>3</v>
      </c>
    </row>
    <row r="12" spans="1:8" x14ac:dyDescent="0.25">
      <c r="A12" s="5" t="s">
        <v>3</v>
      </c>
      <c r="B12" s="5" t="s">
        <v>3</v>
      </c>
      <c r="C12" s="5" t="s">
        <v>290</v>
      </c>
      <c r="D12" s="6">
        <v>0</v>
      </c>
      <c r="E12" s="14">
        <v>7850</v>
      </c>
      <c r="F12" s="6">
        <f>D12+E12</f>
        <v>7850</v>
      </c>
      <c r="G12" s="15" t="s">
        <v>1302</v>
      </c>
      <c r="H12" s="5" t="s">
        <v>3</v>
      </c>
    </row>
    <row r="13" spans="1:8" x14ac:dyDescent="0.25">
      <c r="A13" s="5" t="s">
        <v>3</v>
      </c>
      <c r="B13" s="5" t="s">
        <v>3</v>
      </c>
      <c r="C13" s="5" t="s">
        <v>1303</v>
      </c>
      <c r="D13" s="6">
        <v>30933.33</v>
      </c>
      <c r="E13" s="6">
        <v>0</v>
      </c>
      <c r="F13" s="6">
        <f>D13+E13</f>
        <v>30933.33</v>
      </c>
      <c r="G13" s="5" t="s">
        <v>3</v>
      </c>
      <c r="H13" s="5" t="s">
        <v>3</v>
      </c>
    </row>
    <row r="14" spans="1:8" x14ac:dyDescent="0.25">
      <c r="A14" s="5" t="s">
        <v>3</v>
      </c>
      <c r="B14" s="5" t="s">
        <v>3</v>
      </c>
      <c r="C14" s="5" t="s">
        <v>138</v>
      </c>
      <c r="D14" s="6">
        <v>22000</v>
      </c>
      <c r="E14" s="6">
        <v>0</v>
      </c>
      <c r="F14" s="6">
        <f>D14+E14</f>
        <v>22000</v>
      </c>
      <c r="G14" s="5" t="s">
        <v>3</v>
      </c>
      <c r="H14" s="5" t="s">
        <v>3</v>
      </c>
    </row>
    <row r="15" spans="1:8" x14ac:dyDescent="0.25">
      <c r="A15" s="5" t="s">
        <v>3</v>
      </c>
      <c r="B15" s="5" t="s">
        <v>3</v>
      </c>
      <c r="C15" s="5" t="s">
        <v>518</v>
      </c>
      <c r="D15" s="6">
        <v>20000</v>
      </c>
      <c r="E15" s="6">
        <v>0</v>
      </c>
      <c r="F15" s="6">
        <f>D15+E15</f>
        <v>20000</v>
      </c>
      <c r="G15" s="5" t="s">
        <v>3</v>
      </c>
      <c r="H15" s="5" t="s">
        <v>3</v>
      </c>
    </row>
    <row r="16" spans="1:8" x14ac:dyDescent="0.25">
      <c r="A16" s="5" t="s">
        <v>3</v>
      </c>
      <c r="B16" s="5" t="s">
        <v>3</v>
      </c>
      <c r="C16" s="5" t="s">
        <v>53</v>
      </c>
      <c r="D16" s="6">
        <v>19000</v>
      </c>
      <c r="E16" s="6">
        <v>0</v>
      </c>
      <c r="F16" s="6">
        <f>D16+E16</f>
        <v>19000</v>
      </c>
      <c r="G16" s="5" t="s">
        <v>3</v>
      </c>
      <c r="H16" s="5" t="s">
        <v>3</v>
      </c>
    </row>
    <row r="17" spans="1:8" x14ac:dyDescent="0.25">
      <c r="A17" s="5" t="s">
        <v>3</v>
      </c>
      <c r="B17" s="5" t="s">
        <v>3</v>
      </c>
      <c r="C17" s="5" t="s">
        <v>506</v>
      </c>
      <c r="D17" s="6">
        <v>18700</v>
      </c>
      <c r="E17" s="6">
        <v>0</v>
      </c>
      <c r="F17" s="6">
        <f>D17+E17</f>
        <v>18700</v>
      </c>
      <c r="G17" s="5" t="s">
        <v>3</v>
      </c>
      <c r="H17" s="5" t="s">
        <v>3</v>
      </c>
    </row>
    <row r="18" spans="1:8" x14ac:dyDescent="0.25">
      <c r="A18" s="5" t="s">
        <v>3</v>
      </c>
      <c r="B18" s="5" t="s">
        <v>3</v>
      </c>
      <c r="C18" s="5" t="s">
        <v>510</v>
      </c>
      <c r="D18" s="6">
        <v>16000</v>
      </c>
      <c r="E18" s="6">
        <v>0</v>
      </c>
      <c r="F18" s="6">
        <f>D18+E18</f>
        <v>16000</v>
      </c>
      <c r="G18" s="5" t="s">
        <v>3</v>
      </c>
      <c r="H18" s="5" t="s">
        <v>3</v>
      </c>
    </row>
    <row r="19" spans="1:8" x14ac:dyDescent="0.25">
      <c r="A19" s="5" t="s">
        <v>3</v>
      </c>
      <c r="B19" s="5" t="s">
        <v>3</v>
      </c>
      <c r="C19" s="5" t="s">
        <v>508</v>
      </c>
      <c r="D19" s="6">
        <v>15736.75</v>
      </c>
      <c r="E19" s="6">
        <v>0</v>
      </c>
      <c r="F19" s="6">
        <f>D19+E19</f>
        <v>15736.75</v>
      </c>
      <c r="G19" s="5" t="s">
        <v>3</v>
      </c>
      <c r="H19" s="5" t="s">
        <v>3</v>
      </c>
    </row>
    <row r="20" spans="1:8" x14ac:dyDescent="0.25">
      <c r="A20" s="5" t="s">
        <v>3</v>
      </c>
      <c r="B20" s="5" t="s">
        <v>3</v>
      </c>
      <c r="C20" s="5" t="s">
        <v>1143</v>
      </c>
      <c r="D20" s="6">
        <v>15000</v>
      </c>
      <c r="E20" s="6">
        <v>0</v>
      </c>
      <c r="F20" s="6">
        <f>D20+E20</f>
        <v>15000</v>
      </c>
      <c r="G20" s="5" t="s">
        <v>3</v>
      </c>
      <c r="H20" s="5" t="s">
        <v>3</v>
      </c>
    </row>
    <row r="21" spans="1:8" x14ac:dyDescent="0.25">
      <c r="A21" s="5" t="s">
        <v>3</v>
      </c>
      <c r="B21" s="5" t="s">
        <v>3</v>
      </c>
      <c r="C21" s="5" t="s">
        <v>1179</v>
      </c>
      <c r="D21" s="6">
        <v>15000</v>
      </c>
      <c r="E21" s="6">
        <v>0</v>
      </c>
      <c r="F21" s="6">
        <f>D21+E21</f>
        <v>15000</v>
      </c>
      <c r="G21" s="5" t="s">
        <v>3</v>
      </c>
      <c r="H21" s="5" t="s">
        <v>3</v>
      </c>
    </row>
    <row r="22" spans="1:8" x14ac:dyDescent="0.25">
      <c r="A22" s="5" t="s">
        <v>3</v>
      </c>
      <c r="B22" s="5" t="s">
        <v>3</v>
      </c>
      <c r="C22" s="5" t="s">
        <v>1242</v>
      </c>
      <c r="D22" s="6">
        <v>15000</v>
      </c>
      <c r="E22" s="6">
        <v>0</v>
      </c>
      <c r="F22" s="6">
        <f>D22+E22</f>
        <v>15000</v>
      </c>
      <c r="G22" s="5" t="s">
        <v>3</v>
      </c>
      <c r="H22" s="5" t="s">
        <v>3</v>
      </c>
    </row>
    <row r="23" spans="1:8" x14ac:dyDescent="0.25">
      <c r="A23" s="5" t="s">
        <v>3</v>
      </c>
      <c r="B23" s="5" t="s">
        <v>3</v>
      </c>
      <c r="C23" s="5" t="s">
        <v>516</v>
      </c>
      <c r="D23" s="6">
        <v>14000</v>
      </c>
      <c r="E23" s="6">
        <v>0</v>
      </c>
      <c r="F23" s="6">
        <f>D23+E23</f>
        <v>14000</v>
      </c>
      <c r="G23" s="5" t="s">
        <v>3</v>
      </c>
      <c r="H23" s="5" t="s">
        <v>3</v>
      </c>
    </row>
    <row r="24" spans="1:8" x14ac:dyDescent="0.25">
      <c r="A24" s="5" t="s">
        <v>3</v>
      </c>
      <c r="B24" s="5" t="s">
        <v>3</v>
      </c>
      <c r="C24" s="5" t="s">
        <v>514</v>
      </c>
      <c r="D24" s="6">
        <v>13500</v>
      </c>
      <c r="E24" s="6">
        <v>0</v>
      </c>
      <c r="F24" s="6">
        <f>D24+E24</f>
        <v>13500</v>
      </c>
      <c r="G24" s="5" t="s">
        <v>3</v>
      </c>
      <c r="H24" s="5" t="s">
        <v>3</v>
      </c>
    </row>
    <row r="25" spans="1:8" x14ac:dyDescent="0.25">
      <c r="A25" s="5" t="s">
        <v>3</v>
      </c>
      <c r="B25" s="5" t="s">
        <v>3</v>
      </c>
      <c r="C25" s="5" t="s">
        <v>197</v>
      </c>
      <c r="D25" s="6">
        <v>13500</v>
      </c>
      <c r="E25" s="6">
        <v>0</v>
      </c>
      <c r="F25" s="6">
        <f>D25+E25</f>
        <v>13500</v>
      </c>
      <c r="G25" s="5" t="s">
        <v>3</v>
      </c>
      <c r="H25" s="5" t="s">
        <v>3</v>
      </c>
    </row>
    <row r="26" spans="1:8" x14ac:dyDescent="0.25">
      <c r="A26" s="5" t="s">
        <v>3</v>
      </c>
      <c r="B26" s="5" t="s">
        <v>3</v>
      </c>
      <c r="C26" s="5" t="s">
        <v>526</v>
      </c>
      <c r="D26" s="6">
        <v>13000</v>
      </c>
      <c r="E26" s="6">
        <v>0</v>
      </c>
      <c r="F26" s="6">
        <f>D26+E26</f>
        <v>13000</v>
      </c>
      <c r="G26" s="5" t="s">
        <v>3</v>
      </c>
      <c r="H26" s="5" t="s">
        <v>3</v>
      </c>
    </row>
    <row r="27" spans="1:8" x14ac:dyDescent="0.25">
      <c r="A27" s="5" t="s">
        <v>3</v>
      </c>
      <c r="B27" s="5" t="s">
        <v>3</v>
      </c>
      <c r="C27" s="5" t="s">
        <v>1144</v>
      </c>
      <c r="D27" s="6">
        <v>13000</v>
      </c>
      <c r="E27" s="6">
        <v>0</v>
      </c>
      <c r="F27" s="6">
        <f>D27+E27</f>
        <v>13000</v>
      </c>
      <c r="G27" s="5" t="s">
        <v>3</v>
      </c>
      <c r="H27" s="5" t="s">
        <v>3</v>
      </c>
    </row>
    <row r="28" spans="1:8" x14ac:dyDescent="0.25">
      <c r="A28" s="5" t="s">
        <v>3</v>
      </c>
      <c r="B28" s="5" t="s">
        <v>3</v>
      </c>
      <c r="C28" s="5" t="s">
        <v>527</v>
      </c>
      <c r="D28" s="6">
        <v>12500</v>
      </c>
      <c r="E28" s="6">
        <v>0</v>
      </c>
      <c r="F28" s="6">
        <f>D28+E28</f>
        <v>12500</v>
      </c>
      <c r="G28" s="5" t="s">
        <v>3</v>
      </c>
      <c r="H28" s="5" t="s">
        <v>3</v>
      </c>
    </row>
    <row r="29" spans="1:8" x14ac:dyDescent="0.25">
      <c r="A29" s="5" t="s">
        <v>3</v>
      </c>
      <c r="B29" s="5" t="s">
        <v>3</v>
      </c>
      <c r="C29" s="5" t="s">
        <v>523</v>
      </c>
      <c r="D29" s="6">
        <v>11000</v>
      </c>
      <c r="E29" s="6">
        <v>0</v>
      </c>
      <c r="F29" s="6">
        <f>D29+E29</f>
        <v>11000</v>
      </c>
      <c r="G29" s="5" t="s">
        <v>3</v>
      </c>
      <c r="H29" s="5" t="s">
        <v>3</v>
      </c>
    </row>
    <row r="30" spans="1:8" x14ac:dyDescent="0.25">
      <c r="A30" s="5" t="s">
        <v>3</v>
      </c>
      <c r="B30" s="5" t="s">
        <v>3</v>
      </c>
      <c r="C30" s="5" t="s">
        <v>528</v>
      </c>
      <c r="D30" s="6">
        <v>10800</v>
      </c>
      <c r="E30" s="6">
        <v>0</v>
      </c>
      <c r="F30" s="6">
        <f>D30+E30</f>
        <v>10800</v>
      </c>
      <c r="G30" s="5" t="s">
        <v>3</v>
      </c>
      <c r="H30" s="5" t="s">
        <v>3</v>
      </c>
    </row>
    <row r="31" spans="1:8" x14ac:dyDescent="0.25">
      <c r="A31" s="5" t="s">
        <v>3</v>
      </c>
      <c r="B31" s="5" t="s">
        <v>3</v>
      </c>
      <c r="C31" s="5" t="s">
        <v>834</v>
      </c>
      <c r="D31" s="6">
        <v>10000</v>
      </c>
      <c r="E31" s="6">
        <v>0</v>
      </c>
      <c r="F31" s="6">
        <f>D31+E31</f>
        <v>10000</v>
      </c>
      <c r="G31" s="5" t="s">
        <v>3</v>
      </c>
      <c r="H31" s="5" t="s">
        <v>3</v>
      </c>
    </row>
    <row r="32" spans="1:8" x14ac:dyDescent="0.25">
      <c r="A32" s="5" t="s">
        <v>3</v>
      </c>
      <c r="B32" s="5" t="s">
        <v>3</v>
      </c>
      <c r="C32" s="5" t="s">
        <v>1304</v>
      </c>
      <c r="D32" s="6">
        <v>8533.33</v>
      </c>
      <c r="E32" s="6">
        <v>0</v>
      </c>
      <c r="F32" s="6">
        <f>D32+E32</f>
        <v>8533.33</v>
      </c>
      <c r="G32" s="5" t="s">
        <v>3</v>
      </c>
      <c r="H32" s="5" t="s">
        <v>3</v>
      </c>
    </row>
    <row r="33" spans="1:8" x14ac:dyDescent="0.25">
      <c r="A33" s="5" t="s">
        <v>3</v>
      </c>
      <c r="B33" s="5" t="s">
        <v>3</v>
      </c>
      <c r="C33" s="5" t="s">
        <v>532</v>
      </c>
      <c r="D33" s="6">
        <v>8500</v>
      </c>
      <c r="E33" s="6">
        <v>0</v>
      </c>
      <c r="F33" s="6">
        <f>D33+E33</f>
        <v>8500</v>
      </c>
      <c r="G33" s="5" t="s">
        <v>3</v>
      </c>
      <c r="H33" s="5" t="s">
        <v>3</v>
      </c>
    </row>
    <row r="34" spans="1:8" x14ac:dyDescent="0.25">
      <c r="A34" s="5" t="s">
        <v>3</v>
      </c>
      <c r="B34" s="5" t="s">
        <v>3</v>
      </c>
      <c r="C34" s="5" t="s">
        <v>522</v>
      </c>
      <c r="D34" s="6">
        <v>8064.22</v>
      </c>
      <c r="E34" s="6">
        <v>0</v>
      </c>
      <c r="F34" s="6">
        <f>D34+E34</f>
        <v>8064.22</v>
      </c>
      <c r="G34" s="5" t="s">
        <v>3</v>
      </c>
      <c r="H34" s="5" t="s">
        <v>3</v>
      </c>
    </row>
    <row r="35" spans="1:8" x14ac:dyDescent="0.25">
      <c r="A35" s="5" t="s">
        <v>3</v>
      </c>
      <c r="B35" s="5" t="s">
        <v>3</v>
      </c>
      <c r="C35" s="5" t="s">
        <v>282</v>
      </c>
      <c r="D35" s="6">
        <v>7882.06</v>
      </c>
      <c r="E35" s="6">
        <v>0</v>
      </c>
      <c r="F35" s="6">
        <f>D35+E35</f>
        <v>7882.06</v>
      </c>
      <c r="G35" s="5" t="s">
        <v>3</v>
      </c>
      <c r="H35" s="5" t="s">
        <v>3</v>
      </c>
    </row>
    <row r="36" spans="1:8" x14ac:dyDescent="0.25">
      <c r="A36" s="5" t="s">
        <v>3</v>
      </c>
      <c r="B36" s="5" t="s">
        <v>3</v>
      </c>
      <c r="C36" s="5" t="s">
        <v>539</v>
      </c>
      <c r="D36" s="6">
        <v>7500</v>
      </c>
      <c r="E36" s="6">
        <v>0</v>
      </c>
      <c r="F36" s="6">
        <f>D36+E36</f>
        <v>7500</v>
      </c>
      <c r="G36" s="5" t="s">
        <v>3</v>
      </c>
      <c r="H36" s="5" t="s">
        <v>3</v>
      </c>
    </row>
    <row r="37" spans="1:8" x14ac:dyDescent="0.25">
      <c r="A37" s="5" t="s">
        <v>3</v>
      </c>
      <c r="B37" s="5" t="s">
        <v>3</v>
      </c>
      <c r="C37" s="5" t="s">
        <v>520</v>
      </c>
      <c r="D37" s="6">
        <v>7200.2</v>
      </c>
      <c r="E37" s="6">
        <v>0</v>
      </c>
      <c r="F37" s="6">
        <f>D37+E37</f>
        <v>7200.2</v>
      </c>
      <c r="G37" s="5" t="s">
        <v>3</v>
      </c>
      <c r="H37" s="5" t="s">
        <v>3</v>
      </c>
    </row>
    <row r="38" spans="1:8" x14ac:dyDescent="0.25">
      <c r="A38" s="5" t="s">
        <v>3</v>
      </c>
      <c r="B38" s="5" t="s">
        <v>3</v>
      </c>
      <c r="C38" s="5" t="s">
        <v>1186</v>
      </c>
      <c r="D38" s="6">
        <v>5000</v>
      </c>
      <c r="E38" s="6">
        <v>0</v>
      </c>
      <c r="F38" s="6">
        <f>D38+E38</f>
        <v>5000</v>
      </c>
      <c r="G38" s="5" t="s">
        <v>3</v>
      </c>
      <c r="H38" s="5" t="s">
        <v>3</v>
      </c>
    </row>
    <row r="39" spans="1:8" x14ac:dyDescent="0.25">
      <c r="A39" s="5" t="s">
        <v>3</v>
      </c>
      <c r="B39" s="5" t="s">
        <v>3</v>
      </c>
      <c r="C39" s="5" t="s">
        <v>535</v>
      </c>
      <c r="D39" s="6">
        <v>4413.95</v>
      </c>
      <c r="E39" s="6">
        <v>0</v>
      </c>
      <c r="F39" s="6">
        <f>D39+E39</f>
        <v>4413.95</v>
      </c>
      <c r="G39" s="5" t="s">
        <v>3</v>
      </c>
      <c r="H39" s="5" t="s">
        <v>3</v>
      </c>
    </row>
    <row r="40" spans="1:8" x14ac:dyDescent="0.25">
      <c r="A40" s="5" t="s">
        <v>3</v>
      </c>
      <c r="B40" s="5" t="s">
        <v>3</v>
      </c>
      <c r="C40" s="5" t="s">
        <v>537</v>
      </c>
      <c r="D40" s="6">
        <v>4000</v>
      </c>
      <c r="E40" s="6">
        <v>0</v>
      </c>
      <c r="F40" s="6">
        <f>D40+E40</f>
        <v>4000</v>
      </c>
      <c r="G40" s="5" t="s">
        <v>3</v>
      </c>
      <c r="H40" s="5" t="s">
        <v>3</v>
      </c>
    </row>
    <row r="41" spans="1:8" x14ac:dyDescent="0.25">
      <c r="A41" s="5" t="s">
        <v>3</v>
      </c>
      <c r="B41" s="5" t="s">
        <v>3</v>
      </c>
      <c r="C41" s="5" t="s">
        <v>1305</v>
      </c>
      <c r="D41" s="6">
        <v>2157.69</v>
      </c>
      <c r="E41" s="6">
        <v>0</v>
      </c>
      <c r="F41" s="6">
        <f>D41+E41</f>
        <v>2157.69</v>
      </c>
      <c r="G41" s="5" t="s">
        <v>3</v>
      </c>
      <c r="H41" s="5" t="s">
        <v>3</v>
      </c>
    </row>
    <row r="42" spans="1:8" x14ac:dyDescent="0.25">
      <c r="A42" s="24" t="s">
        <v>364</v>
      </c>
      <c r="B42" s="24" t="s">
        <v>365</v>
      </c>
      <c r="C42" s="24" t="s">
        <v>499</v>
      </c>
      <c r="D42" s="27">
        <f>SUM(D43:D43)</f>
        <v>24631.6</v>
      </c>
      <c r="E42" s="27">
        <f>SUM(E43:E43)</f>
        <v>57078.91</v>
      </c>
      <c r="F42" s="27">
        <f>SUM(F43:F43)</f>
        <v>81710.51</v>
      </c>
      <c r="G42" s="24" t="s">
        <v>3</v>
      </c>
      <c r="H42" s="24" t="s">
        <v>3</v>
      </c>
    </row>
    <row r="43" spans="1:8" x14ac:dyDescent="0.25">
      <c r="A43" s="5" t="s">
        <v>3</v>
      </c>
      <c r="B43" s="5" t="s">
        <v>3</v>
      </c>
      <c r="C43" s="5" t="s">
        <v>103</v>
      </c>
      <c r="D43" s="6">
        <v>24631.6</v>
      </c>
      <c r="E43" s="10">
        <v>57078.91</v>
      </c>
      <c r="F43" s="6">
        <f>D43+E43</f>
        <v>81710.51</v>
      </c>
      <c r="G43" s="11" t="s">
        <v>1306</v>
      </c>
      <c r="H43" s="5" t="s">
        <v>3</v>
      </c>
    </row>
    <row r="44" spans="1:8" x14ac:dyDescent="0.25">
      <c r="A44" s="24" t="s">
        <v>366</v>
      </c>
      <c r="B44" s="24" t="s">
        <v>367</v>
      </c>
      <c r="C44" s="24" t="s">
        <v>499</v>
      </c>
      <c r="D44" s="27">
        <f>SUM(D45:D52)</f>
        <v>281755.1</v>
      </c>
      <c r="E44" s="27">
        <f>SUM(E45:E52)</f>
        <v>38558.37</v>
      </c>
      <c r="F44" s="27">
        <f>SUM(F45:F52)</f>
        <v>320313.47</v>
      </c>
      <c r="G44" s="24" t="s">
        <v>3</v>
      </c>
      <c r="H44" s="24" t="s">
        <v>3</v>
      </c>
    </row>
    <row r="45" spans="1:8" x14ac:dyDescent="0.25">
      <c r="A45" s="5" t="s">
        <v>3</v>
      </c>
      <c r="B45" s="5" t="s">
        <v>3</v>
      </c>
      <c r="C45" s="5" t="s">
        <v>81</v>
      </c>
      <c r="D45" s="6">
        <v>0</v>
      </c>
      <c r="E45" s="29">
        <v>126682</v>
      </c>
      <c r="F45" s="6">
        <f>D45+E45</f>
        <v>126682</v>
      </c>
      <c r="G45" s="23" t="s">
        <v>1307</v>
      </c>
      <c r="H45" s="5" t="s">
        <v>3</v>
      </c>
    </row>
    <row r="46" spans="1:8" x14ac:dyDescent="0.25">
      <c r="A46" s="5" t="s">
        <v>3</v>
      </c>
      <c r="B46" s="5" t="s">
        <v>3</v>
      </c>
      <c r="C46" s="5" t="s">
        <v>268</v>
      </c>
      <c r="D46" s="6">
        <v>115492.22</v>
      </c>
      <c r="E46" s="29">
        <v>-115492.22</v>
      </c>
      <c r="F46" s="6">
        <f>D46+E46</f>
        <v>0</v>
      </c>
      <c r="G46" s="23" t="s">
        <v>1308</v>
      </c>
      <c r="H46" s="5" t="s">
        <v>3</v>
      </c>
    </row>
    <row r="47" spans="1:8" x14ac:dyDescent="0.25">
      <c r="A47" s="5" t="s">
        <v>3</v>
      </c>
      <c r="B47" s="5" t="s">
        <v>3</v>
      </c>
      <c r="C47" s="5" t="s">
        <v>302</v>
      </c>
      <c r="D47" s="6">
        <v>159918.41</v>
      </c>
      <c r="E47" s="29">
        <v>27368.59</v>
      </c>
      <c r="F47" s="6">
        <f>D47+E47</f>
        <v>187287</v>
      </c>
      <c r="G47" s="23" t="s">
        <v>1309</v>
      </c>
      <c r="H47" s="5" t="s">
        <v>3</v>
      </c>
    </row>
    <row r="48" spans="1:8" x14ac:dyDescent="0.25">
      <c r="A48" s="5" t="s">
        <v>3</v>
      </c>
      <c r="B48" s="5" t="s">
        <v>3</v>
      </c>
      <c r="C48" s="5" t="s">
        <v>543</v>
      </c>
      <c r="D48" s="6">
        <v>2669.8</v>
      </c>
      <c r="E48" s="6">
        <v>0</v>
      </c>
      <c r="F48" s="6">
        <f>D48+E48</f>
        <v>2669.8</v>
      </c>
      <c r="G48" s="5" t="s">
        <v>3</v>
      </c>
      <c r="H48" s="5" t="s">
        <v>3</v>
      </c>
    </row>
    <row r="49" spans="1:8" x14ac:dyDescent="0.25">
      <c r="A49" s="5" t="s">
        <v>3</v>
      </c>
      <c r="B49" s="5" t="s">
        <v>3</v>
      </c>
      <c r="C49" s="5" t="s">
        <v>617</v>
      </c>
      <c r="D49" s="6">
        <v>2016</v>
      </c>
      <c r="E49" s="6">
        <v>0</v>
      </c>
      <c r="F49" s="6">
        <f>D49+E49</f>
        <v>2016</v>
      </c>
      <c r="G49" s="5" t="s">
        <v>3</v>
      </c>
      <c r="H49" s="5" t="s">
        <v>3</v>
      </c>
    </row>
    <row r="50" spans="1:8" x14ac:dyDescent="0.25">
      <c r="A50" s="5" t="s">
        <v>3</v>
      </c>
      <c r="B50" s="5" t="s">
        <v>3</v>
      </c>
      <c r="C50" s="5" t="s">
        <v>1029</v>
      </c>
      <c r="D50" s="6">
        <v>1399.84</v>
      </c>
      <c r="E50" s="6">
        <v>0</v>
      </c>
      <c r="F50" s="6">
        <f>D50+E50</f>
        <v>1399.84</v>
      </c>
      <c r="G50" s="5" t="s">
        <v>3</v>
      </c>
      <c r="H50" s="5" t="s">
        <v>3</v>
      </c>
    </row>
    <row r="51" spans="1:8" x14ac:dyDescent="0.25">
      <c r="A51" s="5" t="s">
        <v>3</v>
      </c>
      <c r="B51" s="5" t="s">
        <v>3</v>
      </c>
      <c r="C51" s="5" t="s">
        <v>101</v>
      </c>
      <c r="D51" s="6">
        <v>222.93</v>
      </c>
      <c r="E51" s="6">
        <v>0</v>
      </c>
      <c r="F51" s="6">
        <f>D51+E51</f>
        <v>222.93</v>
      </c>
      <c r="G51" s="5" t="s">
        <v>3</v>
      </c>
      <c r="H51" s="5" t="s">
        <v>3</v>
      </c>
    </row>
    <row r="52" spans="1:8" x14ac:dyDescent="0.25">
      <c r="A52" s="5" t="s">
        <v>3</v>
      </c>
      <c r="B52" s="5" t="s">
        <v>3</v>
      </c>
      <c r="C52" s="5" t="s">
        <v>1310</v>
      </c>
      <c r="D52" s="6">
        <v>35.9</v>
      </c>
      <c r="E52" s="6">
        <v>0</v>
      </c>
      <c r="F52" s="6">
        <f>D52+E52</f>
        <v>35.9</v>
      </c>
      <c r="G52" s="5" t="s">
        <v>3</v>
      </c>
      <c r="H52" s="5" t="s">
        <v>3</v>
      </c>
    </row>
    <row r="53" spans="1:8" x14ac:dyDescent="0.25">
      <c r="A53" s="24" t="s">
        <v>368</v>
      </c>
      <c r="B53" s="24" t="s">
        <v>369</v>
      </c>
      <c r="C53" s="24" t="s">
        <v>499</v>
      </c>
      <c r="D53" s="27">
        <f>SUM(D54:D77)</f>
        <v>119226.56</v>
      </c>
      <c r="E53" s="27">
        <f>SUM(E54:E77)</f>
        <v>0</v>
      </c>
      <c r="F53" s="27">
        <f>SUM(F54:F77)</f>
        <v>119226.56</v>
      </c>
      <c r="G53" s="24" t="s">
        <v>3</v>
      </c>
      <c r="H53" s="24" t="s">
        <v>3</v>
      </c>
    </row>
    <row r="54" spans="1:8" x14ac:dyDescent="0.25">
      <c r="A54" s="5" t="s">
        <v>3</v>
      </c>
      <c r="B54" s="5" t="s">
        <v>3</v>
      </c>
      <c r="C54" s="5" t="s">
        <v>559</v>
      </c>
      <c r="D54" s="6">
        <v>37680</v>
      </c>
      <c r="E54" s="6">
        <v>0</v>
      </c>
      <c r="F54" s="6">
        <f>D54+E54</f>
        <v>37680</v>
      </c>
      <c r="G54" s="5" t="s">
        <v>3</v>
      </c>
      <c r="H54" s="5" t="s">
        <v>3</v>
      </c>
    </row>
    <row r="55" spans="1:8" x14ac:dyDescent="0.25">
      <c r="A55" s="5" t="s">
        <v>3</v>
      </c>
      <c r="B55" s="5" t="s">
        <v>3</v>
      </c>
      <c r="C55" s="5" t="s">
        <v>548</v>
      </c>
      <c r="D55" s="6">
        <v>19025.68</v>
      </c>
      <c r="E55" s="6">
        <v>0</v>
      </c>
      <c r="F55" s="6">
        <f>D55+E55</f>
        <v>19025.68</v>
      </c>
      <c r="G55" s="5" t="s">
        <v>3</v>
      </c>
      <c r="H55" s="5" t="s">
        <v>3</v>
      </c>
    </row>
    <row r="56" spans="1:8" x14ac:dyDescent="0.25">
      <c r="A56" s="5" t="s">
        <v>3</v>
      </c>
      <c r="B56" s="5" t="s">
        <v>3</v>
      </c>
      <c r="C56" s="5" t="s">
        <v>550</v>
      </c>
      <c r="D56" s="6">
        <v>10000</v>
      </c>
      <c r="E56" s="6">
        <v>0</v>
      </c>
      <c r="F56" s="6">
        <f>D56+E56</f>
        <v>10000</v>
      </c>
      <c r="G56" s="5" t="s">
        <v>3</v>
      </c>
      <c r="H56" s="5" t="s">
        <v>3</v>
      </c>
    </row>
    <row r="57" spans="1:8" x14ac:dyDescent="0.25">
      <c r="A57" s="5" t="s">
        <v>3</v>
      </c>
      <c r="B57" s="5" t="s">
        <v>3</v>
      </c>
      <c r="C57" s="5" t="s">
        <v>1195</v>
      </c>
      <c r="D57" s="6">
        <v>8927.27</v>
      </c>
      <c r="E57" s="6">
        <v>0</v>
      </c>
      <c r="F57" s="6">
        <f>D57+E57</f>
        <v>8927.27</v>
      </c>
      <c r="G57" s="5" t="s">
        <v>3</v>
      </c>
      <c r="H57" s="5" t="s">
        <v>3</v>
      </c>
    </row>
    <row r="58" spans="1:8" x14ac:dyDescent="0.25">
      <c r="A58" s="5" t="s">
        <v>3</v>
      </c>
      <c r="B58" s="5" t="s">
        <v>3</v>
      </c>
      <c r="C58" s="5" t="s">
        <v>1193</v>
      </c>
      <c r="D58" s="6">
        <v>8272.88</v>
      </c>
      <c r="E58" s="6">
        <v>0</v>
      </c>
      <c r="F58" s="6">
        <f>D58+E58</f>
        <v>8272.88</v>
      </c>
      <c r="G58" s="5" t="s">
        <v>3</v>
      </c>
      <c r="H58" s="5" t="s">
        <v>3</v>
      </c>
    </row>
    <row r="59" spans="1:8" x14ac:dyDescent="0.25">
      <c r="A59" s="5" t="s">
        <v>3</v>
      </c>
      <c r="B59" s="5" t="s">
        <v>3</v>
      </c>
      <c r="C59" s="5" t="s">
        <v>553</v>
      </c>
      <c r="D59" s="6">
        <v>6460.28</v>
      </c>
      <c r="E59" s="6">
        <v>0</v>
      </c>
      <c r="F59" s="6">
        <f>D59+E59</f>
        <v>6460.28</v>
      </c>
      <c r="G59" s="5" t="s">
        <v>3</v>
      </c>
      <c r="H59" s="5" t="s">
        <v>3</v>
      </c>
    </row>
    <row r="60" spans="1:8" x14ac:dyDescent="0.25">
      <c r="A60" s="5" t="s">
        <v>3</v>
      </c>
      <c r="B60" s="5" t="s">
        <v>3</v>
      </c>
      <c r="C60" s="5" t="s">
        <v>187</v>
      </c>
      <c r="D60" s="6">
        <v>5433.95</v>
      </c>
      <c r="E60" s="6">
        <v>0</v>
      </c>
      <c r="F60" s="6">
        <f>D60+E60</f>
        <v>5433.95</v>
      </c>
      <c r="G60" s="5" t="s">
        <v>3</v>
      </c>
      <c r="H60" s="5" t="s">
        <v>3</v>
      </c>
    </row>
    <row r="61" spans="1:8" x14ac:dyDescent="0.25">
      <c r="A61" s="5" t="s">
        <v>3</v>
      </c>
      <c r="B61" s="5" t="s">
        <v>3</v>
      </c>
      <c r="C61" s="5" t="s">
        <v>1311</v>
      </c>
      <c r="D61" s="6">
        <v>4943.25</v>
      </c>
      <c r="E61" s="6">
        <v>0</v>
      </c>
      <c r="F61" s="6">
        <f>D61+E61</f>
        <v>4943.25</v>
      </c>
      <c r="G61" s="5" t="s">
        <v>3</v>
      </c>
      <c r="H61" s="5" t="s">
        <v>3</v>
      </c>
    </row>
    <row r="62" spans="1:8" x14ac:dyDescent="0.25">
      <c r="A62" s="5" t="s">
        <v>3</v>
      </c>
      <c r="B62" s="5" t="s">
        <v>3</v>
      </c>
      <c r="C62" s="5" t="s">
        <v>1312</v>
      </c>
      <c r="D62" s="6">
        <v>3353.27</v>
      </c>
      <c r="E62" s="6">
        <v>0</v>
      </c>
      <c r="F62" s="6">
        <f>D62+E62</f>
        <v>3353.27</v>
      </c>
      <c r="G62" s="5" t="s">
        <v>3</v>
      </c>
      <c r="H62" s="5" t="s">
        <v>3</v>
      </c>
    </row>
    <row r="63" spans="1:8" x14ac:dyDescent="0.25">
      <c r="A63" s="5" t="s">
        <v>3</v>
      </c>
      <c r="B63" s="5" t="s">
        <v>3</v>
      </c>
      <c r="C63" s="5" t="s">
        <v>552</v>
      </c>
      <c r="D63" s="6">
        <v>3000</v>
      </c>
      <c r="E63" s="6">
        <v>0</v>
      </c>
      <c r="F63" s="6">
        <f>D63+E63</f>
        <v>3000</v>
      </c>
      <c r="G63" s="5" t="s">
        <v>3</v>
      </c>
      <c r="H63" s="5" t="s">
        <v>3</v>
      </c>
    </row>
    <row r="64" spans="1:8" x14ac:dyDescent="0.25">
      <c r="A64" s="5" t="s">
        <v>3</v>
      </c>
      <c r="B64" s="5" t="s">
        <v>3</v>
      </c>
      <c r="C64" s="5" t="s">
        <v>551</v>
      </c>
      <c r="D64" s="6">
        <v>2595.47</v>
      </c>
      <c r="E64" s="6">
        <v>0</v>
      </c>
      <c r="F64" s="6">
        <f>D64+E64</f>
        <v>2595.47</v>
      </c>
      <c r="G64" s="5" t="s">
        <v>3</v>
      </c>
      <c r="H64" s="5" t="s">
        <v>3</v>
      </c>
    </row>
    <row r="65" spans="1:8" x14ac:dyDescent="0.25">
      <c r="A65" s="5" t="s">
        <v>3</v>
      </c>
      <c r="B65" s="5" t="s">
        <v>3</v>
      </c>
      <c r="C65" s="5" t="s">
        <v>1165</v>
      </c>
      <c r="D65" s="6">
        <v>2267.95</v>
      </c>
      <c r="E65" s="6">
        <v>0</v>
      </c>
      <c r="F65" s="6">
        <f>D65+E65</f>
        <v>2267.95</v>
      </c>
      <c r="G65" s="5" t="s">
        <v>3</v>
      </c>
      <c r="H65" s="5" t="s">
        <v>3</v>
      </c>
    </row>
    <row r="66" spans="1:8" x14ac:dyDescent="0.25">
      <c r="A66" s="5" t="s">
        <v>3</v>
      </c>
      <c r="B66" s="5" t="s">
        <v>3</v>
      </c>
      <c r="C66" s="5" t="s">
        <v>555</v>
      </c>
      <c r="D66" s="6">
        <v>2213.41</v>
      </c>
      <c r="E66" s="6">
        <v>0</v>
      </c>
      <c r="F66" s="6">
        <f>D66+E66</f>
        <v>2213.41</v>
      </c>
      <c r="G66" s="5" t="s">
        <v>3</v>
      </c>
      <c r="H66" s="5" t="s">
        <v>3</v>
      </c>
    </row>
    <row r="67" spans="1:8" x14ac:dyDescent="0.25">
      <c r="A67" s="5" t="s">
        <v>3</v>
      </c>
      <c r="B67" s="5" t="s">
        <v>3</v>
      </c>
      <c r="C67" s="5" t="s">
        <v>556</v>
      </c>
      <c r="D67" s="6">
        <v>1697.76</v>
      </c>
      <c r="E67" s="6">
        <v>0</v>
      </c>
      <c r="F67" s="6">
        <f>D67+E67</f>
        <v>1697.76</v>
      </c>
      <c r="G67" s="5" t="s">
        <v>3</v>
      </c>
      <c r="H67" s="5" t="s">
        <v>3</v>
      </c>
    </row>
    <row r="68" spans="1:8" x14ac:dyDescent="0.25">
      <c r="A68" s="5" t="s">
        <v>3</v>
      </c>
      <c r="B68" s="5" t="s">
        <v>3</v>
      </c>
      <c r="C68" s="5" t="s">
        <v>799</v>
      </c>
      <c r="D68" s="6">
        <v>1559.88</v>
      </c>
      <c r="E68" s="6">
        <v>0</v>
      </c>
      <c r="F68" s="6">
        <f>D68+E68</f>
        <v>1559.88</v>
      </c>
      <c r="G68" s="5" t="s">
        <v>3</v>
      </c>
      <c r="H68" s="5" t="s">
        <v>3</v>
      </c>
    </row>
    <row r="69" spans="1:8" x14ac:dyDescent="0.25">
      <c r="A69" s="5" t="s">
        <v>3</v>
      </c>
      <c r="B69" s="5" t="s">
        <v>3</v>
      </c>
      <c r="C69" s="5" t="s">
        <v>560</v>
      </c>
      <c r="D69" s="6">
        <v>565.81</v>
      </c>
      <c r="E69" s="6">
        <v>0</v>
      </c>
      <c r="F69" s="6">
        <f>D69+E69</f>
        <v>565.81</v>
      </c>
      <c r="G69" s="5" t="s">
        <v>3</v>
      </c>
      <c r="H69" s="5" t="s">
        <v>3</v>
      </c>
    </row>
    <row r="70" spans="1:8" x14ac:dyDescent="0.25">
      <c r="A70" s="5" t="s">
        <v>3</v>
      </c>
      <c r="B70" s="5" t="s">
        <v>3</v>
      </c>
      <c r="C70" s="5" t="s">
        <v>1313</v>
      </c>
      <c r="D70" s="6">
        <v>340.53</v>
      </c>
      <c r="E70" s="6">
        <v>0</v>
      </c>
      <c r="F70" s="6">
        <f>D70+E70</f>
        <v>340.53</v>
      </c>
      <c r="G70" s="5" t="s">
        <v>3</v>
      </c>
      <c r="H70" s="5" t="s">
        <v>3</v>
      </c>
    </row>
    <row r="71" spans="1:8" x14ac:dyDescent="0.25">
      <c r="A71" s="5" t="s">
        <v>3</v>
      </c>
      <c r="B71" s="5" t="s">
        <v>3</v>
      </c>
      <c r="C71" s="5" t="s">
        <v>561</v>
      </c>
      <c r="D71" s="6">
        <v>313.94</v>
      </c>
      <c r="E71" s="6">
        <v>0</v>
      </c>
      <c r="F71" s="6">
        <f>D71+E71</f>
        <v>313.94</v>
      </c>
      <c r="G71" s="5" t="s">
        <v>3</v>
      </c>
      <c r="H71" s="5" t="s">
        <v>3</v>
      </c>
    </row>
    <row r="72" spans="1:8" x14ac:dyDescent="0.25">
      <c r="A72" s="5" t="s">
        <v>3</v>
      </c>
      <c r="B72" s="5" t="s">
        <v>3</v>
      </c>
      <c r="C72" s="5" t="s">
        <v>797</v>
      </c>
      <c r="D72" s="6">
        <v>150.72</v>
      </c>
      <c r="E72" s="6">
        <v>0</v>
      </c>
      <c r="F72" s="6">
        <f>D72+E72</f>
        <v>150.72</v>
      </c>
      <c r="G72" s="5" t="s">
        <v>3</v>
      </c>
      <c r="H72" s="5" t="s">
        <v>3</v>
      </c>
    </row>
    <row r="73" spans="1:8" x14ac:dyDescent="0.25">
      <c r="A73" s="5" t="s">
        <v>3</v>
      </c>
      <c r="B73" s="5" t="s">
        <v>3</v>
      </c>
      <c r="C73" s="5" t="s">
        <v>565</v>
      </c>
      <c r="D73" s="6">
        <v>133.18</v>
      </c>
      <c r="E73" s="6">
        <v>0</v>
      </c>
      <c r="F73" s="6">
        <f>D73+E73</f>
        <v>133.18</v>
      </c>
      <c r="G73" s="5" t="s">
        <v>3</v>
      </c>
      <c r="H73" s="5" t="s">
        <v>3</v>
      </c>
    </row>
    <row r="74" spans="1:8" x14ac:dyDescent="0.25">
      <c r="A74" s="5" t="s">
        <v>3</v>
      </c>
      <c r="B74" s="5" t="s">
        <v>3</v>
      </c>
      <c r="C74" s="5" t="s">
        <v>800</v>
      </c>
      <c r="D74" s="6">
        <v>106.55</v>
      </c>
      <c r="E74" s="6">
        <v>0</v>
      </c>
      <c r="F74" s="6">
        <f>D74+E74</f>
        <v>106.55</v>
      </c>
      <c r="G74" s="5" t="s">
        <v>3</v>
      </c>
      <c r="H74" s="5" t="s">
        <v>3</v>
      </c>
    </row>
    <row r="75" spans="1:8" x14ac:dyDescent="0.25">
      <c r="A75" s="5" t="s">
        <v>3</v>
      </c>
      <c r="B75" s="5" t="s">
        <v>3</v>
      </c>
      <c r="C75" s="5" t="s">
        <v>603</v>
      </c>
      <c r="D75" s="6">
        <v>103.65</v>
      </c>
      <c r="E75" s="6">
        <v>0</v>
      </c>
      <c r="F75" s="6">
        <f>D75+E75</f>
        <v>103.65</v>
      </c>
      <c r="G75" s="5" t="s">
        <v>3</v>
      </c>
      <c r="H75" s="5" t="s">
        <v>3</v>
      </c>
    </row>
    <row r="76" spans="1:8" x14ac:dyDescent="0.25">
      <c r="A76" s="5" t="s">
        <v>3</v>
      </c>
      <c r="B76" s="5" t="s">
        <v>3</v>
      </c>
      <c r="C76" s="5" t="s">
        <v>1314</v>
      </c>
      <c r="D76" s="6">
        <v>52.13</v>
      </c>
      <c r="E76" s="6">
        <v>0</v>
      </c>
      <c r="F76" s="6">
        <f>D76+E76</f>
        <v>52.13</v>
      </c>
      <c r="G76" s="5" t="s">
        <v>3</v>
      </c>
      <c r="H76" s="5" t="s">
        <v>3</v>
      </c>
    </row>
    <row r="77" spans="1:8" x14ac:dyDescent="0.25">
      <c r="A77" s="5" t="s">
        <v>3</v>
      </c>
      <c r="B77" s="5" t="s">
        <v>3</v>
      </c>
      <c r="C77" s="5" t="s">
        <v>570</v>
      </c>
      <c r="D77" s="6">
        <v>29</v>
      </c>
      <c r="E77" s="6">
        <v>0</v>
      </c>
      <c r="F77" s="6">
        <f>D77+E77</f>
        <v>29</v>
      </c>
      <c r="G77" s="5" t="s">
        <v>3</v>
      </c>
      <c r="H77" s="5" t="s">
        <v>3</v>
      </c>
    </row>
    <row r="78" spans="1:8" x14ac:dyDescent="0.25">
      <c r="A78" s="24" t="s">
        <v>370</v>
      </c>
      <c r="B78" s="24" t="s">
        <v>371</v>
      </c>
      <c r="C78" s="24" t="s">
        <v>499</v>
      </c>
      <c r="D78" s="27">
        <f>SUM(D79:D90)</f>
        <v>422766.52</v>
      </c>
      <c r="E78" s="27">
        <f>SUM(E79:E90)</f>
        <v>3905.02</v>
      </c>
      <c r="F78" s="27">
        <f>SUM(F79:F90)</f>
        <v>426671.54</v>
      </c>
      <c r="G78" s="24" t="s">
        <v>3</v>
      </c>
      <c r="H78" s="24" t="s">
        <v>3</v>
      </c>
    </row>
    <row r="79" spans="1:8" x14ac:dyDescent="0.25">
      <c r="A79" s="5" t="s">
        <v>3</v>
      </c>
      <c r="B79" s="5" t="s">
        <v>3</v>
      </c>
      <c r="C79" s="5" t="s">
        <v>306</v>
      </c>
      <c r="D79" s="6">
        <v>1106.47</v>
      </c>
      <c r="E79" s="29">
        <v>11088.53</v>
      </c>
      <c r="F79" s="6">
        <f>D79+E79</f>
        <v>12195</v>
      </c>
      <c r="G79" s="23" t="s">
        <v>1315</v>
      </c>
      <c r="H79" s="5" t="s">
        <v>3</v>
      </c>
    </row>
    <row r="80" spans="1:8" x14ac:dyDescent="0.25">
      <c r="A80" s="5" t="s">
        <v>3</v>
      </c>
      <c r="B80" s="5" t="s">
        <v>3</v>
      </c>
      <c r="C80" s="5" t="s">
        <v>265</v>
      </c>
      <c r="D80" s="6">
        <v>176091.75</v>
      </c>
      <c r="E80" s="29">
        <v>-10442.75</v>
      </c>
      <c r="F80" s="6">
        <f>D80+E80</f>
        <v>165649</v>
      </c>
      <c r="G80" s="23" t="s">
        <v>1316</v>
      </c>
      <c r="H80" s="5" t="s">
        <v>3</v>
      </c>
    </row>
    <row r="81" spans="1:8" x14ac:dyDescent="0.25">
      <c r="A81" s="5" t="s">
        <v>3</v>
      </c>
      <c r="B81" s="5" t="s">
        <v>3</v>
      </c>
      <c r="C81" s="5" t="s">
        <v>131</v>
      </c>
      <c r="D81" s="6">
        <v>19799.41</v>
      </c>
      <c r="E81" s="29">
        <v>2548.59</v>
      </c>
      <c r="F81" s="6">
        <f>D81+E81</f>
        <v>22348</v>
      </c>
      <c r="G81" s="23" t="s">
        <v>1317</v>
      </c>
      <c r="H81" s="5" t="s">
        <v>3</v>
      </c>
    </row>
    <row r="82" spans="1:8" x14ac:dyDescent="0.25">
      <c r="A82" s="5" t="s">
        <v>3</v>
      </c>
      <c r="B82" s="5" t="s">
        <v>3</v>
      </c>
      <c r="C82" s="5" t="s">
        <v>121</v>
      </c>
      <c r="D82" s="6">
        <v>38715.35</v>
      </c>
      <c r="E82" s="29">
        <v>710.65</v>
      </c>
      <c r="F82" s="6">
        <f>D82+E82</f>
        <v>39426</v>
      </c>
      <c r="G82" s="23" t="s">
        <v>1318</v>
      </c>
      <c r="H82" s="5" t="s">
        <v>3</v>
      </c>
    </row>
    <row r="83" spans="1:8" x14ac:dyDescent="0.25">
      <c r="A83" s="5" t="s">
        <v>3</v>
      </c>
      <c r="B83" s="5" t="s">
        <v>3</v>
      </c>
      <c r="C83" s="5" t="s">
        <v>270</v>
      </c>
      <c r="D83" s="6">
        <v>81355.6</v>
      </c>
      <c r="E83" s="6">
        <v>0</v>
      </c>
      <c r="F83" s="6">
        <f>D83+E83</f>
        <v>81355.6</v>
      </c>
      <c r="G83" s="5" t="s">
        <v>3</v>
      </c>
      <c r="H83" s="5" t="s">
        <v>3</v>
      </c>
    </row>
    <row r="84" spans="1:8" x14ac:dyDescent="0.25">
      <c r="A84" s="5" t="s">
        <v>3</v>
      </c>
      <c r="B84" s="5" t="s">
        <v>3</v>
      </c>
      <c r="C84" s="5" t="s">
        <v>180</v>
      </c>
      <c r="D84" s="6">
        <v>42744.82</v>
      </c>
      <c r="E84" s="6">
        <v>0</v>
      </c>
      <c r="F84" s="6">
        <f>D84+E84</f>
        <v>42744.82</v>
      </c>
      <c r="G84" s="5" t="s">
        <v>3</v>
      </c>
      <c r="H84" s="5" t="s">
        <v>3</v>
      </c>
    </row>
    <row r="85" spans="1:8" x14ac:dyDescent="0.25">
      <c r="A85" s="5" t="s">
        <v>3</v>
      </c>
      <c r="B85" s="5" t="s">
        <v>3</v>
      </c>
      <c r="C85" s="5" t="s">
        <v>1201</v>
      </c>
      <c r="D85" s="6">
        <v>31705.16</v>
      </c>
      <c r="E85" s="6">
        <v>0</v>
      </c>
      <c r="F85" s="6">
        <f>D85+E85</f>
        <v>31705.16</v>
      </c>
      <c r="G85" s="5" t="s">
        <v>3</v>
      </c>
      <c r="H85" s="5" t="s">
        <v>3</v>
      </c>
    </row>
    <row r="86" spans="1:8" x14ac:dyDescent="0.25">
      <c r="A86" s="5" t="s">
        <v>3</v>
      </c>
      <c r="B86" s="5" t="s">
        <v>3</v>
      </c>
      <c r="C86" s="5" t="s">
        <v>199</v>
      </c>
      <c r="D86" s="6">
        <v>11753.03</v>
      </c>
      <c r="E86" s="6">
        <v>0</v>
      </c>
      <c r="F86" s="6">
        <f>D86+E86</f>
        <v>11753.03</v>
      </c>
      <c r="G86" s="5" t="s">
        <v>3</v>
      </c>
      <c r="H86" s="5" t="s">
        <v>3</v>
      </c>
    </row>
    <row r="87" spans="1:8" x14ac:dyDescent="0.25">
      <c r="A87" s="5" t="s">
        <v>3</v>
      </c>
      <c r="B87" s="5" t="s">
        <v>3</v>
      </c>
      <c r="C87" s="5" t="s">
        <v>1319</v>
      </c>
      <c r="D87" s="6">
        <v>6298.33</v>
      </c>
      <c r="E87" s="6">
        <v>0</v>
      </c>
      <c r="F87" s="6">
        <f>D87+E87</f>
        <v>6298.33</v>
      </c>
      <c r="G87" s="5" t="s">
        <v>3</v>
      </c>
      <c r="H87" s="5" t="s">
        <v>3</v>
      </c>
    </row>
    <row r="88" spans="1:8" x14ac:dyDescent="0.25">
      <c r="A88" s="5" t="s">
        <v>3</v>
      </c>
      <c r="B88" s="5" t="s">
        <v>3</v>
      </c>
      <c r="C88" s="5" t="s">
        <v>1320</v>
      </c>
      <c r="D88" s="6">
        <v>6232.22</v>
      </c>
      <c r="E88" s="6">
        <v>0</v>
      </c>
      <c r="F88" s="6">
        <f>D88+E88</f>
        <v>6232.22</v>
      </c>
      <c r="G88" s="5" t="s">
        <v>3</v>
      </c>
      <c r="H88" s="5" t="s">
        <v>3</v>
      </c>
    </row>
    <row r="89" spans="1:8" x14ac:dyDescent="0.25">
      <c r="A89" s="5" t="s">
        <v>3</v>
      </c>
      <c r="B89" s="5" t="s">
        <v>3</v>
      </c>
      <c r="C89" s="5" t="s">
        <v>1202</v>
      </c>
      <c r="D89" s="6">
        <v>4009.5</v>
      </c>
      <c r="E89" s="6">
        <v>0</v>
      </c>
      <c r="F89" s="6">
        <f>D89+E89</f>
        <v>4009.5</v>
      </c>
      <c r="G89" s="5" t="s">
        <v>3</v>
      </c>
      <c r="H89" s="5" t="s">
        <v>3</v>
      </c>
    </row>
    <row r="90" spans="1:8" x14ac:dyDescent="0.25">
      <c r="A90" s="5" t="s">
        <v>3</v>
      </c>
      <c r="B90" s="5" t="s">
        <v>3</v>
      </c>
      <c r="C90" s="5" t="s">
        <v>572</v>
      </c>
      <c r="D90" s="6">
        <v>2954.88</v>
      </c>
      <c r="E90" s="6">
        <v>0</v>
      </c>
      <c r="F90" s="6">
        <f>D90+E90</f>
        <v>2954.88</v>
      </c>
      <c r="G90" s="5" t="s">
        <v>3</v>
      </c>
      <c r="H90" s="5" t="s">
        <v>3</v>
      </c>
    </row>
    <row r="91" spans="1:8" x14ac:dyDescent="0.25">
      <c r="A91" s="24" t="s">
        <v>374</v>
      </c>
      <c r="B91" s="24" t="s">
        <v>375</v>
      </c>
      <c r="C91" s="24" t="s">
        <v>499</v>
      </c>
      <c r="D91" s="27">
        <f>SUM(D92:D92)</f>
        <v>1500</v>
      </c>
      <c r="E91" s="27">
        <f>SUM(E92:E92)</f>
        <v>0</v>
      </c>
      <c r="F91" s="27">
        <f>SUM(F92:F92)</f>
        <v>1500</v>
      </c>
      <c r="G91" s="24" t="s">
        <v>3</v>
      </c>
      <c r="H91" s="24" t="s">
        <v>3</v>
      </c>
    </row>
    <row r="92" spans="1:8" x14ac:dyDescent="0.25">
      <c r="A92" s="5" t="s">
        <v>3</v>
      </c>
      <c r="B92" s="5" t="s">
        <v>3</v>
      </c>
      <c r="C92" s="5" t="s">
        <v>1321</v>
      </c>
      <c r="D92" s="6">
        <v>1500</v>
      </c>
      <c r="E92" s="6">
        <v>0</v>
      </c>
      <c r="F92" s="6">
        <f>D92+E92</f>
        <v>1500</v>
      </c>
      <c r="G92" s="5" t="s">
        <v>3</v>
      </c>
      <c r="H92" s="5" t="s">
        <v>3</v>
      </c>
    </row>
    <row r="93" spans="1:8" x14ac:dyDescent="0.25">
      <c r="A93" s="24" t="s">
        <v>376</v>
      </c>
      <c r="B93" s="24" t="s">
        <v>377</v>
      </c>
      <c r="C93" s="24" t="s">
        <v>499</v>
      </c>
      <c r="D93" s="27">
        <f>SUM(D94:D94)</f>
        <v>125</v>
      </c>
      <c r="E93" s="27">
        <f>SUM(E94:E94)</f>
        <v>0</v>
      </c>
      <c r="F93" s="27">
        <f>SUM(F94:F94)</f>
        <v>125</v>
      </c>
      <c r="G93" s="24" t="s">
        <v>3</v>
      </c>
      <c r="H93" s="24" t="s">
        <v>3</v>
      </c>
    </row>
    <row r="94" spans="1:8" x14ac:dyDescent="0.25">
      <c r="A94" s="5" t="s">
        <v>3</v>
      </c>
      <c r="B94" s="5" t="s">
        <v>3</v>
      </c>
      <c r="C94" s="5" t="s">
        <v>1322</v>
      </c>
      <c r="D94" s="6">
        <v>125</v>
      </c>
      <c r="E94" s="6">
        <v>0</v>
      </c>
      <c r="F94" s="6">
        <f>D94+E94</f>
        <v>125</v>
      </c>
      <c r="G94" s="5" t="s">
        <v>3</v>
      </c>
      <c r="H94" s="5" t="s">
        <v>3</v>
      </c>
    </row>
    <row r="95" spans="1:8" x14ac:dyDescent="0.25">
      <c r="A95" s="24" t="s">
        <v>378</v>
      </c>
      <c r="B95" s="24" t="s">
        <v>379</v>
      </c>
      <c r="C95" s="24" t="s">
        <v>499</v>
      </c>
      <c r="D95" s="27">
        <f>SUM(D96:D98)</f>
        <v>1800.91</v>
      </c>
      <c r="E95" s="27">
        <f>SUM(E96:E98)</f>
        <v>0</v>
      </c>
      <c r="F95" s="27">
        <f>SUM(F96:F98)</f>
        <v>1800.91</v>
      </c>
      <c r="G95" s="24" t="s">
        <v>3</v>
      </c>
      <c r="H95" s="24" t="s">
        <v>3</v>
      </c>
    </row>
    <row r="96" spans="1:8" x14ac:dyDescent="0.25">
      <c r="A96" s="5" t="s">
        <v>3</v>
      </c>
      <c r="B96" s="5" t="s">
        <v>3</v>
      </c>
      <c r="C96" s="5" t="s">
        <v>794</v>
      </c>
      <c r="D96" s="6">
        <v>1140.87</v>
      </c>
      <c r="E96" s="6">
        <v>0</v>
      </c>
      <c r="F96" s="6">
        <f>D96+E96</f>
        <v>1140.87</v>
      </c>
      <c r="G96" s="5" t="s">
        <v>3</v>
      </c>
      <c r="H96" s="5" t="s">
        <v>3</v>
      </c>
    </row>
    <row r="97" spans="1:8" x14ac:dyDescent="0.25">
      <c r="A97" s="5" t="s">
        <v>3</v>
      </c>
      <c r="B97" s="5" t="s">
        <v>3</v>
      </c>
      <c r="C97" s="5" t="s">
        <v>582</v>
      </c>
      <c r="D97" s="6">
        <v>471.04</v>
      </c>
      <c r="E97" s="6">
        <v>0</v>
      </c>
      <c r="F97" s="6">
        <f>D97+E97</f>
        <v>471.04</v>
      </c>
      <c r="G97" s="5" t="s">
        <v>3</v>
      </c>
      <c r="H97" s="5" t="s">
        <v>3</v>
      </c>
    </row>
    <row r="98" spans="1:8" x14ac:dyDescent="0.25">
      <c r="A98" s="5" t="s">
        <v>3</v>
      </c>
      <c r="B98" s="5" t="s">
        <v>3</v>
      </c>
      <c r="C98" s="5" t="s">
        <v>793</v>
      </c>
      <c r="D98" s="6">
        <v>189</v>
      </c>
      <c r="E98" s="6">
        <v>0</v>
      </c>
      <c r="F98" s="6">
        <f>D98+E98</f>
        <v>189</v>
      </c>
      <c r="G98" s="5" t="s">
        <v>3</v>
      </c>
      <c r="H98" s="5" t="s">
        <v>3</v>
      </c>
    </row>
    <row r="99" spans="1:8" x14ac:dyDescent="0.25">
      <c r="A99" s="24" t="s">
        <v>380</v>
      </c>
      <c r="B99" s="24" t="s">
        <v>381</v>
      </c>
      <c r="C99" s="24" t="s">
        <v>499</v>
      </c>
      <c r="D99" s="27">
        <f>SUM(D100:D102)</f>
        <v>16377.65</v>
      </c>
      <c r="E99" s="27">
        <f>SUM(E100:E102)</f>
        <v>0</v>
      </c>
      <c r="F99" s="27">
        <f>SUM(F100:F102)</f>
        <v>16377.65</v>
      </c>
      <c r="G99" s="24" t="s">
        <v>3</v>
      </c>
      <c r="H99" s="24" t="s">
        <v>3</v>
      </c>
    </row>
    <row r="100" spans="1:8" x14ac:dyDescent="0.25">
      <c r="A100" s="5" t="s">
        <v>3</v>
      </c>
      <c r="B100" s="5" t="s">
        <v>3</v>
      </c>
      <c r="C100" s="5" t="s">
        <v>763</v>
      </c>
      <c r="D100" s="6">
        <v>14744.28</v>
      </c>
      <c r="E100" s="6">
        <v>0</v>
      </c>
      <c r="F100" s="6">
        <f>D100+E100</f>
        <v>14744.28</v>
      </c>
      <c r="G100" s="5" t="s">
        <v>3</v>
      </c>
      <c r="H100" s="5" t="s">
        <v>3</v>
      </c>
    </row>
    <row r="101" spans="1:8" x14ac:dyDescent="0.25">
      <c r="A101" s="5" t="s">
        <v>3</v>
      </c>
      <c r="B101" s="5" t="s">
        <v>3</v>
      </c>
      <c r="C101" s="5" t="s">
        <v>881</v>
      </c>
      <c r="D101" s="6">
        <v>1604.39</v>
      </c>
      <c r="E101" s="6">
        <v>0</v>
      </c>
      <c r="F101" s="6">
        <f>D101+E101</f>
        <v>1604.39</v>
      </c>
      <c r="G101" s="5" t="s">
        <v>3</v>
      </c>
      <c r="H101" s="5" t="s">
        <v>3</v>
      </c>
    </row>
    <row r="102" spans="1:8" x14ac:dyDescent="0.25">
      <c r="A102" s="5" t="s">
        <v>3</v>
      </c>
      <c r="B102" s="5" t="s">
        <v>3</v>
      </c>
      <c r="C102" s="5" t="s">
        <v>1323</v>
      </c>
      <c r="D102" s="6">
        <v>28.98</v>
      </c>
      <c r="E102" s="6">
        <v>0</v>
      </c>
      <c r="F102" s="6">
        <f>D102+E102</f>
        <v>28.98</v>
      </c>
      <c r="G102" s="5" t="s">
        <v>3</v>
      </c>
      <c r="H102" s="5" t="s">
        <v>3</v>
      </c>
    </row>
    <row r="103" spans="1:8" x14ac:dyDescent="0.25">
      <c r="A103" s="24" t="s">
        <v>382</v>
      </c>
      <c r="B103" s="24" t="s">
        <v>383</v>
      </c>
      <c r="C103" s="24" t="s">
        <v>499</v>
      </c>
      <c r="D103" s="27">
        <f>SUM(D104:D131)</f>
        <v>164951.29</v>
      </c>
      <c r="E103" s="27">
        <f>SUM(E104:E131)</f>
        <v>57416.63</v>
      </c>
      <c r="F103" s="27">
        <f>SUM(F104:F131)</f>
        <v>222367.92</v>
      </c>
      <c r="G103" s="24" t="s">
        <v>3</v>
      </c>
      <c r="H103" s="24" t="s">
        <v>3</v>
      </c>
    </row>
    <row r="104" spans="1:8" x14ac:dyDescent="0.25">
      <c r="A104" s="5" t="s">
        <v>3</v>
      </c>
      <c r="B104" s="5" t="s">
        <v>3</v>
      </c>
      <c r="C104" s="5" t="s">
        <v>211</v>
      </c>
      <c r="D104" s="6">
        <v>0</v>
      </c>
      <c r="E104" s="29">
        <v>57416.63</v>
      </c>
      <c r="F104" s="6">
        <f>D104+E104</f>
        <v>57416.63</v>
      </c>
      <c r="G104" s="23" t="s">
        <v>1324</v>
      </c>
      <c r="H104" s="5" t="s">
        <v>3</v>
      </c>
    </row>
    <row r="105" spans="1:8" x14ac:dyDescent="0.25">
      <c r="A105" s="5" t="s">
        <v>3</v>
      </c>
      <c r="B105" s="5" t="s">
        <v>3</v>
      </c>
      <c r="C105" s="5" t="s">
        <v>182</v>
      </c>
      <c r="D105" s="6">
        <v>90606.76</v>
      </c>
      <c r="E105" s="6">
        <v>0</v>
      </c>
      <c r="F105" s="6">
        <f>D105+E105</f>
        <v>90606.76</v>
      </c>
      <c r="G105" s="5" t="s">
        <v>3</v>
      </c>
      <c r="H105" s="5" t="s">
        <v>3</v>
      </c>
    </row>
    <row r="106" spans="1:8" x14ac:dyDescent="0.25">
      <c r="A106" s="5" t="s">
        <v>3</v>
      </c>
      <c r="B106" s="5" t="s">
        <v>3</v>
      </c>
      <c r="C106" s="5" t="s">
        <v>600</v>
      </c>
      <c r="D106" s="6">
        <v>17669.07</v>
      </c>
      <c r="E106" s="6">
        <v>0</v>
      </c>
      <c r="F106" s="6">
        <f>D106+E106</f>
        <v>17669.07</v>
      </c>
      <c r="G106" s="5" t="s">
        <v>3</v>
      </c>
      <c r="H106" s="5" t="s">
        <v>3</v>
      </c>
    </row>
    <row r="107" spans="1:8" x14ac:dyDescent="0.25">
      <c r="A107" s="5" t="s">
        <v>3</v>
      </c>
      <c r="B107" s="5" t="s">
        <v>3</v>
      </c>
      <c r="C107" s="5" t="s">
        <v>215</v>
      </c>
      <c r="D107" s="6">
        <v>14672.44</v>
      </c>
      <c r="E107" s="6">
        <v>0</v>
      </c>
      <c r="F107" s="6">
        <f>D107+E107</f>
        <v>14672.44</v>
      </c>
      <c r="G107" s="5" t="s">
        <v>3</v>
      </c>
      <c r="H107" s="5" t="s">
        <v>3</v>
      </c>
    </row>
    <row r="108" spans="1:8" x14ac:dyDescent="0.25">
      <c r="A108" s="5" t="s">
        <v>3</v>
      </c>
      <c r="B108" s="5" t="s">
        <v>3</v>
      </c>
      <c r="C108" s="5" t="s">
        <v>595</v>
      </c>
      <c r="D108" s="6">
        <v>5699.28</v>
      </c>
      <c r="E108" s="6">
        <v>0</v>
      </c>
      <c r="F108" s="6">
        <f>D108+E108</f>
        <v>5699.28</v>
      </c>
      <c r="G108" s="5" t="s">
        <v>3</v>
      </c>
      <c r="H108" s="5" t="s">
        <v>3</v>
      </c>
    </row>
    <row r="109" spans="1:8" x14ac:dyDescent="0.25">
      <c r="A109" s="5" t="s">
        <v>3</v>
      </c>
      <c r="B109" s="5" t="s">
        <v>3</v>
      </c>
      <c r="C109" s="5" t="s">
        <v>593</v>
      </c>
      <c r="D109" s="6">
        <v>5668.24</v>
      </c>
      <c r="E109" s="6">
        <v>0</v>
      </c>
      <c r="F109" s="6">
        <f>D109+E109</f>
        <v>5668.24</v>
      </c>
      <c r="G109" s="5" t="s">
        <v>3</v>
      </c>
      <c r="H109" s="5" t="s">
        <v>3</v>
      </c>
    </row>
    <row r="110" spans="1:8" x14ac:dyDescent="0.25">
      <c r="A110" s="5" t="s">
        <v>3</v>
      </c>
      <c r="B110" s="5" t="s">
        <v>3</v>
      </c>
      <c r="C110" s="5" t="s">
        <v>149</v>
      </c>
      <c r="D110" s="6">
        <v>5000</v>
      </c>
      <c r="E110" s="6">
        <v>0</v>
      </c>
      <c r="F110" s="6">
        <f>D110+E110</f>
        <v>5000</v>
      </c>
      <c r="G110" s="5" t="s">
        <v>3</v>
      </c>
      <c r="H110" s="5" t="s">
        <v>3</v>
      </c>
    </row>
    <row r="111" spans="1:8" x14ac:dyDescent="0.25">
      <c r="A111" s="5" t="s">
        <v>3</v>
      </c>
      <c r="B111" s="5" t="s">
        <v>3</v>
      </c>
      <c r="C111" s="5" t="s">
        <v>162</v>
      </c>
      <c r="D111" s="6">
        <v>4855</v>
      </c>
      <c r="E111" s="6">
        <v>0</v>
      </c>
      <c r="F111" s="6">
        <f>D111+E111</f>
        <v>4855</v>
      </c>
      <c r="G111" s="5" t="s">
        <v>3</v>
      </c>
      <c r="H111" s="5" t="s">
        <v>3</v>
      </c>
    </row>
    <row r="112" spans="1:8" x14ac:dyDescent="0.25">
      <c r="A112" s="5" t="s">
        <v>3</v>
      </c>
      <c r="B112" s="5" t="s">
        <v>3</v>
      </c>
      <c r="C112" s="5" t="s">
        <v>590</v>
      </c>
      <c r="D112" s="6">
        <v>4347.74</v>
      </c>
      <c r="E112" s="6">
        <v>0</v>
      </c>
      <c r="F112" s="6">
        <f>D112+E112</f>
        <v>4347.74</v>
      </c>
      <c r="G112" s="5" t="s">
        <v>3</v>
      </c>
      <c r="H112" s="5" t="s">
        <v>3</v>
      </c>
    </row>
    <row r="113" spans="1:8" x14ac:dyDescent="0.25">
      <c r="A113" s="5" t="s">
        <v>3</v>
      </c>
      <c r="B113" s="5" t="s">
        <v>3</v>
      </c>
      <c r="C113" s="5" t="s">
        <v>99</v>
      </c>
      <c r="D113" s="6">
        <v>3221.07</v>
      </c>
      <c r="E113" s="6">
        <v>0</v>
      </c>
      <c r="F113" s="6">
        <f>D113+E113</f>
        <v>3221.07</v>
      </c>
      <c r="G113" s="5" t="s">
        <v>3</v>
      </c>
      <c r="H113" s="5" t="s">
        <v>3</v>
      </c>
    </row>
    <row r="114" spans="1:8" x14ac:dyDescent="0.25">
      <c r="A114" s="5" t="s">
        <v>3</v>
      </c>
      <c r="B114" s="5" t="s">
        <v>3</v>
      </c>
      <c r="C114" s="5" t="s">
        <v>190</v>
      </c>
      <c r="D114" s="6">
        <v>2477.88</v>
      </c>
      <c r="E114" s="6">
        <v>0</v>
      </c>
      <c r="F114" s="6">
        <f>D114+E114</f>
        <v>2477.88</v>
      </c>
      <c r="G114" s="5" t="s">
        <v>3</v>
      </c>
      <c r="H114" s="5" t="s">
        <v>3</v>
      </c>
    </row>
    <row r="115" spans="1:8" x14ac:dyDescent="0.25">
      <c r="A115" s="5" t="s">
        <v>3</v>
      </c>
      <c r="B115" s="5" t="s">
        <v>3</v>
      </c>
      <c r="C115" s="5" t="s">
        <v>554</v>
      </c>
      <c r="D115" s="6">
        <v>2142.3</v>
      </c>
      <c r="E115" s="6">
        <v>0</v>
      </c>
      <c r="F115" s="6">
        <f>D115+E115</f>
        <v>2142.3</v>
      </c>
      <c r="G115" s="5" t="s">
        <v>3</v>
      </c>
      <c r="H115" s="5" t="s">
        <v>3</v>
      </c>
    </row>
    <row r="116" spans="1:8" x14ac:dyDescent="0.25">
      <c r="A116" s="5" t="s">
        <v>3</v>
      </c>
      <c r="B116" s="5" t="s">
        <v>3</v>
      </c>
      <c r="C116" s="5" t="s">
        <v>785</v>
      </c>
      <c r="D116" s="6">
        <v>1568.37</v>
      </c>
      <c r="E116" s="6">
        <v>0</v>
      </c>
      <c r="F116" s="6">
        <f>D116+E116</f>
        <v>1568.37</v>
      </c>
      <c r="G116" s="5" t="s">
        <v>3</v>
      </c>
      <c r="H116" s="5" t="s">
        <v>3</v>
      </c>
    </row>
    <row r="117" spans="1:8" x14ac:dyDescent="0.25">
      <c r="A117" s="5" t="s">
        <v>3</v>
      </c>
      <c r="B117" s="5" t="s">
        <v>3</v>
      </c>
      <c r="C117" s="5" t="s">
        <v>97</v>
      </c>
      <c r="D117" s="6">
        <v>1331.26</v>
      </c>
      <c r="E117" s="6">
        <v>0</v>
      </c>
      <c r="F117" s="6">
        <f>D117+E117</f>
        <v>1331.26</v>
      </c>
      <c r="G117" s="5" t="s">
        <v>3</v>
      </c>
      <c r="H117" s="5" t="s">
        <v>3</v>
      </c>
    </row>
    <row r="118" spans="1:8" x14ac:dyDescent="0.25">
      <c r="A118" s="5" t="s">
        <v>3</v>
      </c>
      <c r="B118" s="5" t="s">
        <v>3</v>
      </c>
      <c r="C118" s="5" t="s">
        <v>601</v>
      </c>
      <c r="D118" s="6">
        <v>1304</v>
      </c>
      <c r="E118" s="6">
        <v>0</v>
      </c>
      <c r="F118" s="6">
        <f>D118+E118</f>
        <v>1304</v>
      </c>
      <c r="G118" s="5" t="s">
        <v>3</v>
      </c>
      <c r="H118" s="5" t="s">
        <v>3</v>
      </c>
    </row>
    <row r="119" spans="1:8" x14ac:dyDescent="0.25">
      <c r="A119" s="5" t="s">
        <v>3</v>
      </c>
      <c r="B119" s="5" t="s">
        <v>3</v>
      </c>
      <c r="C119" s="5" t="s">
        <v>594</v>
      </c>
      <c r="D119" s="6">
        <v>1115.83</v>
      </c>
      <c r="E119" s="6">
        <v>0</v>
      </c>
      <c r="F119" s="6">
        <f>D119+E119</f>
        <v>1115.83</v>
      </c>
      <c r="G119" s="5" t="s">
        <v>3</v>
      </c>
      <c r="H119" s="5" t="s">
        <v>3</v>
      </c>
    </row>
    <row r="120" spans="1:8" x14ac:dyDescent="0.25">
      <c r="A120" s="5" t="s">
        <v>3</v>
      </c>
      <c r="B120" s="5" t="s">
        <v>3</v>
      </c>
      <c r="C120" s="5" t="s">
        <v>602</v>
      </c>
      <c r="D120" s="6">
        <v>960</v>
      </c>
      <c r="E120" s="6">
        <v>0</v>
      </c>
      <c r="F120" s="6">
        <f>D120+E120</f>
        <v>960</v>
      </c>
      <c r="G120" s="5" t="s">
        <v>3</v>
      </c>
      <c r="H120" s="5" t="s">
        <v>3</v>
      </c>
    </row>
    <row r="121" spans="1:8" x14ac:dyDescent="0.25">
      <c r="A121" s="5" t="s">
        <v>3</v>
      </c>
      <c r="B121" s="5" t="s">
        <v>3</v>
      </c>
      <c r="C121" s="5" t="s">
        <v>841</v>
      </c>
      <c r="D121" s="6">
        <v>692.9</v>
      </c>
      <c r="E121" s="6">
        <v>0</v>
      </c>
      <c r="F121" s="6">
        <f>D121+E121</f>
        <v>692.9</v>
      </c>
      <c r="G121" s="5" t="s">
        <v>3</v>
      </c>
      <c r="H121" s="5" t="s">
        <v>3</v>
      </c>
    </row>
    <row r="122" spans="1:8" x14ac:dyDescent="0.25">
      <c r="A122" s="5" t="s">
        <v>3</v>
      </c>
      <c r="B122" s="5" t="s">
        <v>3</v>
      </c>
      <c r="C122" s="5" t="s">
        <v>1325</v>
      </c>
      <c r="D122" s="6">
        <v>321.35</v>
      </c>
      <c r="E122" s="6">
        <v>0</v>
      </c>
      <c r="F122" s="6">
        <f>D122+E122</f>
        <v>321.35</v>
      </c>
      <c r="G122" s="5" t="s">
        <v>3</v>
      </c>
      <c r="H122" s="5" t="s">
        <v>3</v>
      </c>
    </row>
    <row r="123" spans="1:8" x14ac:dyDescent="0.25">
      <c r="A123" s="5" t="s">
        <v>3</v>
      </c>
      <c r="B123" s="5" t="s">
        <v>3</v>
      </c>
      <c r="C123" s="5" t="s">
        <v>563</v>
      </c>
      <c r="D123" s="6">
        <v>281.07</v>
      </c>
      <c r="E123" s="6">
        <v>0</v>
      </c>
      <c r="F123" s="6">
        <f>D123+E123</f>
        <v>281.07</v>
      </c>
      <c r="G123" s="5" t="s">
        <v>3</v>
      </c>
      <c r="H123" s="5" t="s">
        <v>3</v>
      </c>
    </row>
    <row r="124" spans="1:8" x14ac:dyDescent="0.25">
      <c r="A124" s="5" t="s">
        <v>3</v>
      </c>
      <c r="B124" s="5" t="s">
        <v>3</v>
      </c>
      <c r="C124" s="5" t="s">
        <v>1326</v>
      </c>
      <c r="D124" s="6">
        <v>228.98</v>
      </c>
      <c r="E124" s="6">
        <v>0</v>
      </c>
      <c r="F124" s="6">
        <f>D124+E124</f>
        <v>228.98</v>
      </c>
      <c r="G124" s="5" t="s">
        <v>3</v>
      </c>
      <c r="H124" s="5" t="s">
        <v>3</v>
      </c>
    </row>
    <row r="125" spans="1:8" x14ac:dyDescent="0.25">
      <c r="A125" s="5" t="s">
        <v>3</v>
      </c>
      <c r="B125" s="5" t="s">
        <v>3</v>
      </c>
      <c r="C125" s="5" t="s">
        <v>1046</v>
      </c>
      <c r="D125" s="6">
        <v>175.11</v>
      </c>
      <c r="E125" s="6">
        <v>0</v>
      </c>
      <c r="F125" s="6">
        <f>D125+E125</f>
        <v>175.11</v>
      </c>
      <c r="G125" s="5" t="s">
        <v>3</v>
      </c>
      <c r="H125" s="5" t="s">
        <v>3</v>
      </c>
    </row>
    <row r="126" spans="1:8" x14ac:dyDescent="0.25">
      <c r="A126" s="5" t="s">
        <v>3</v>
      </c>
      <c r="B126" s="5" t="s">
        <v>3</v>
      </c>
      <c r="C126" s="5" t="s">
        <v>1221</v>
      </c>
      <c r="D126" s="6">
        <v>145.58</v>
      </c>
      <c r="E126" s="6">
        <v>0</v>
      </c>
      <c r="F126" s="6">
        <f>D126+E126</f>
        <v>145.58</v>
      </c>
      <c r="G126" s="5" t="s">
        <v>3</v>
      </c>
      <c r="H126" s="5" t="s">
        <v>3</v>
      </c>
    </row>
    <row r="127" spans="1:8" x14ac:dyDescent="0.25">
      <c r="A127" s="5" t="s">
        <v>3</v>
      </c>
      <c r="B127" s="5" t="s">
        <v>3</v>
      </c>
      <c r="C127" s="5" t="s">
        <v>605</v>
      </c>
      <c r="D127" s="6">
        <v>124.93</v>
      </c>
      <c r="E127" s="6">
        <v>0</v>
      </c>
      <c r="F127" s="6">
        <f>D127+E127</f>
        <v>124.93</v>
      </c>
      <c r="G127" s="5" t="s">
        <v>3</v>
      </c>
      <c r="H127" s="5" t="s">
        <v>3</v>
      </c>
    </row>
    <row r="128" spans="1:8" x14ac:dyDescent="0.25">
      <c r="A128" s="5" t="s">
        <v>3</v>
      </c>
      <c r="B128" s="5" t="s">
        <v>3</v>
      </c>
      <c r="C128" s="5" t="s">
        <v>566</v>
      </c>
      <c r="D128" s="6">
        <v>115.15</v>
      </c>
      <c r="E128" s="6">
        <v>0</v>
      </c>
      <c r="F128" s="6">
        <f>D128+E128</f>
        <v>115.15</v>
      </c>
      <c r="G128" s="5" t="s">
        <v>3</v>
      </c>
      <c r="H128" s="5" t="s">
        <v>3</v>
      </c>
    </row>
    <row r="129" spans="1:8" x14ac:dyDescent="0.25">
      <c r="A129" s="5" t="s">
        <v>3</v>
      </c>
      <c r="B129" s="5" t="s">
        <v>3</v>
      </c>
      <c r="C129" s="5" t="s">
        <v>1222</v>
      </c>
      <c r="D129" s="6">
        <v>104.56</v>
      </c>
      <c r="E129" s="6">
        <v>0</v>
      </c>
      <c r="F129" s="6">
        <f>D129+E129</f>
        <v>104.56</v>
      </c>
      <c r="G129" s="5" t="s">
        <v>3</v>
      </c>
      <c r="H129" s="5" t="s">
        <v>3</v>
      </c>
    </row>
    <row r="130" spans="1:8" x14ac:dyDescent="0.25">
      <c r="A130" s="5" t="s">
        <v>3</v>
      </c>
      <c r="B130" s="5" t="s">
        <v>3</v>
      </c>
      <c r="C130" s="5" t="s">
        <v>610</v>
      </c>
      <c r="D130" s="6">
        <v>84.93</v>
      </c>
      <c r="E130" s="6">
        <v>0</v>
      </c>
      <c r="F130" s="6">
        <f>D130+E130</f>
        <v>84.93</v>
      </c>
      <c r="G130" s="5" t="s">
        <v>3</v>
      </c>
      <c r="H130" s="5" t="s">
        <v>3</v>
      </c>
    </row>
    <row r="131" spans="1:8" x14ac:dyDescent="0.25">
      <c r="A131" s="5" t="s">
        <v>3</v>
      </c>
      <c r="B131" s="5" t="s">
        <v>3</v>
      </c>
      <c r="C131" s="5" t="s">
        <v>612</v>
      </c>
      <c r="D131" s="6">
        <v>37.49</v>
      </c>
      <c r="E131" s="6">
        <v>0</v>
      </c>
      <c r="F131" s="6">
        <f>D131+E131</f>
        <v>37.49</v>
      </c>
      <c r="G131" s="5" t="s">
        <v>3</v>
      </c>
      <c r="H131" s="5" t="s">
        <v>3</v>
      </c>
    </row>
    <row r="132" spans="1:8" x14ac:dyDescent="0.25">
      <c r="A132" s="24" t="s">
        <v>384</v>
      </c>
      <c r="B132" s="24" t="s">
        <v>385</v>
      </c>
      <c r="C132" s="24" t="s">
        <v>499</v>
      </c>
      <c r="D132" s="27">
        <f>SUM(D133:D134)</f>
        <v>18767.06</v>
      </c>
      <c r="E132" s="27">
        <f>SUM(E133:E134)</f>
        <v>0</v>
      </c>
      <c r="F132" s="27">
        <f>SUM(F133:F134)</f>
        <v>18767.06</v>
      </c>
      <c r="G132" s="24" t="s">
        <v>3</v>
      </c>
      <c r="H132" s="24" t="s">
        <v>3</v>
      </c>
    </row>
    <row r="133" spans="1:8" x14ac:dyDescent="0.25">
      <c r="A133" s="5" t="s">
        <v>3</v>
      </c>
      <c r="B133" s="5" t="s">
        <v>3</v>
      </c>
      <c r="C133" s="5" t="s">
        <v>1047</v>
      </c>
      <c r="D133" s="6">
        <v>13251.5</v>
      </c>
      <c r="E133" s="6">
        <v>0</v>
      </c>
      <c r="F133" s="6">
        <f>D133+E133</f>
        <v>13251.5</v>
      </c>
      <c r="G133" s="5" t="s">
        <v>3</v>
      </c>
      <c r="H133" s="5" t="s">
        <v>3</v>
      </c>
    </row>
    <row r="134" spans="1:8" x14ac:dyDescent="0.25">
      <c r="A134" s="5" t="s">
        <v>3</v>
      </c>
      <c r="B134" s="5" t="s">
        <v>3</v>
      </c>
      <c r="C134" s="5" t="s">
        <v>615</v>
      </c>
      <c r="D134" s="6">
        <v>5515.56</v>
      </c>
      <c r="E134" s="6">
        <v>0</v>
      </c>
      <c r="F134" s="6">
        <f>D134+E134</f>
        <v>5515.56</v>
      </c>
      <c r="G134" s="5" t="s">
        <v>3</v>
      </c>
      <c r="H134" s="5" t="s">
        <v>3</v>
      </c>
    </row>
    <row r="135" spans="1:8" x14ac:dyDescent="0.25">
      <c r="A135" s="24" t="s">
        <v>386</v>
      </c>
      <c r="B135" s="24" t="s">
        <v>387</v>
      </c>
      <c r="C135" s="24" t="s">
        <v>499</v>
      </c>
      <c r="D135" s="27">
        <f>SUM(D136:D136)</f>
        <v>703.71</v>
      </c>
      <c r="E135" s="27">
        <f>SUM(E136:E136)</f>
        <v>0</v>
      </c>
      <c r="F135" s="27">
        <f>SUM(F136:F136)</f>
        <v>703.71</v>
      </c>
      <c r="G135" s="24" t="s">
        <v>3</v>
      </c>
      <c r="H135" s="24" t="s">
        <v>3</v>
      </c>
    </row>
    <row r="136" spans="1:8" x14ac:dyDescent="0.25">
      <c r="A136" s="5" t="s">
        <v>3</v>
      </c>
      <c r="B136" s="5" t="s">
        <v>3</v>
      </c>
      <c r="C136" s="5" t="s">
        <v>1327</v>
      </c>
      <c r="D136" s="6">
        <v>703.71</v>
      </c>
      <c r="E136" s="6">
        <v>0</v>
      </c>
      <c r="F136" s="6">
        <f>D136+E136</f>
        <v>703.71</v>
      </c>
      <c r="G136" s="5" t="s">
        <v>3</v>
      </c>
      <c r="H136" s="5" t="s">
        <v>3</v>
      </c>
    </row>
    <row r="137" spans="1:8" x14ac:dyDescent="0.25">
      <c r="A137" s="24" t="s">
        <v>390</v>
      </c>
      <c r="B137" s="24" t="s">
        <v>391</v>
      </c>
      <c r="C137" s="24" t="s">
        <v>499</v>
      </c>
      <c r="D137" s="27">
        <f>SUM(D138:D141)</f>
        <v>1141</v>
      </c>
      <c r="E137" s="27">
        <f>SUM(E138:E141)</f>
        <v>0</v>
      </c>
      <c r="F137" s="27">
        <f>SUM(F138:F141)</f>
        <v>1141</v>
      </c>
      <c r="G137" s="24" t="s">
        <v>3</v>
      </c>
      <c r="H137" s="24" t="s">
        <v>3</v>
      </c>
    </row>
    <row r="138" spans="1:8" x14ac:dyDescent="0.25">
      <c r="A138" s="5" t="s">
        <v>3</v>
      </c>
      <c r="B138" s="5" t="s">
        <v>3</v>
      </c>
      <c r="C138" s="5" t="s">
        <v>620</v>
      </c>
      <c r="D138" s="6">
        <v>569</v>
      </c>
      <c r="E138" s="6">
        <v>0</v>
      </c>
      <c r="F138" s="6">
        <f>D138+E138</f>
        <v>569</v>
      </c>
      <c r="G138" s="5" t="s">
        <v>3</v>
      </c>
      <c r="H138" s="5" t="s">
        <v>3</v>
      </c>
    </row>
    <row r="139" spans="1:8" x14ac:dyDescent="0.25">
      <c r="A139" s="5" t="s">
        <v>3</v>
      </c>
      <c r="B139" s="5" t="s">
        <v>3</v>
      </c>
      <c r="C139" s="5" t="s">
        <v>1328</v>
      </c>
      <c r="D139" s="6">
        <v>480</v>
      </c>
      <c r="E139" s="6">
        <v>0</v>
      </c>
      <c r="F139" s="6">
        <f>D139+E139</f>
        <v>480</v>
      </c>
      <c r="G139" s="5" t="s">
        <v>3</v>
      </c>
      <c r="H139" s="5" t="s">
        <v>3</v>
      </c>
    </row>
    <row r="140" spans="1:8" x14ac:dyDescent="0.25">
      <c r="A140" s="5" t="s">
        <v>3</v>
      </c>
      <c r="B140" s="5" t="s">
        <v>3</v>
      </c>
      <c r="C140" s="5" t="s">
        <v>1125</v>
      </c>
      <c r="D140" s="6">
        <v>46</v>
      </c>
      <c r="E140" s="6">
        <v>0</v>
      </c>
      <c r="F140" s="6">
        <f>D140+E140</f>
        <v>46</v>
      </c>
      <c r="G140" s="5" t="s">
        <v>3</v>
      </c>
      <c r="H140" s="5" t="s">
        <v>3</v>
      </c>
    </row>
    <row r="141" spans="1:8" x14ac:dyDescent="0.25">
      <c r="A141" s="5" t="s">
        <v>3</v>
      </c>
      <c r="B141" s="5" t="s">
        <v>3</v>
      </c>
      <c r="C141" s="5" t="s">
        <v>1329</v>
      </c>
      <c r="D141" s="6">
        <v>46</v>
      </c>
      <c r="E141" s="6">
        <v>0</v>
      </c>
      <c r="F141" s="6">
        <f>D141+E141</f>
        <v>46</v>
      </c>
      <c r="G141" s="5" t="s">
        <v>3</v>
      </c>
      <c r="H141" s="5" t="s">
        <v>3</v>
      </c>
    </row>
    <row r="142" spans="1:8" x14ac:dyDescent="0.25">
      <c r="A142" s="24" t="s">
        <v>392</v>
      </c>
      <c r="B142" s="24" t="s">
        <v>393</v>
      </c>
      <c r="C142" s="24" t="s">
        <v>499</v>
      </c>
      <c r="D142" s="27">
        <f>SUM(D143:D144)</f>
        <v>7153.7</v>
      </c>
      <c r="E142" s="27">
        <f>SUM(E143:E144)</f>
        <v>0</v>
      </c>
      <c r="F142" s="27">
        <f>SUM(F143:F144)</f>
        <v>7153.7</v>
      </c>
      <c r="G142" s="24" t="s">
        <v>3</v>
      </c>
      <c r="H142" s="24" t="s">
        <v>3</v>
      </c>
    </row>
    <row r="143" spans="1:8" x14ac:dyDescent="0.25">
      <c r="A143" s="5" t="s">
        <v>3</v>
      </c>
      <c r="B143" s="5" t="s">
        <v>3</v>
      </c>
      <c r="C143" s="5" t="s">
        <v>155</v>
      </c>
      <c r="D143" s="6">
        <v>4398.97</v>
      </c>
      <c r="E143" s="6">
        <v>0</v>
      </c>
      <c r="F143" s="6">
        <f>D143+E143</f>
        <v>4398.97</v>
      </c>
      <c r="G143" s="5" t="s">
        <v>3</v>
      </c>
      <c r="H143" s="5" t="s">
        <v>3</v>
      </c>
    </row>
    <row r="144" spans="1:8" x14ac:dyDescent="0.25">
      <c r="A144" s="5" t="s">
        <v>3</v>
      </c>
      <c r="B144" s="5" t="s">
        <v>3</v>
      </c>
      <c r="C144" s="5" t="s">
        <v>623</v>
      </c>
      <c r="D144" s="6">
        <v>2754.73</v>
      </c>
      <c r="E144" s="6">
        <v>0</v>
      </c>
      <c r="F144" s="6">
        <f>D144+E144</f>
        <v>2754.73</v>
      </c>
      <c r="G144" s="5" t="s">
        <v>3</v>
      </c>
      <c r="H144" s="5" t="s">
        <v>3</v>
      </c>
    </row>
    <row r="145" spans="1:8" x14ac:dyDescent="0.25">
      <c r="A145" s="24" t="s">
        <v>394</v>
      </c>
      <c r="B145" s="24" t="s">
        <v>395</v>
      </c>
      <c r="C145" s="24" t="s">
        <v>499</v>
      </c>
      <c r="D145" s="27">
        <f>SUM(D146:D159)</f>
        <v>1422.09</v>
      </c>
      <c r="E145" s="27">
        <f>SUM(E146:E159)</f>
        <v>0</v>
      </c>
      <c r="F145" s="27">
        <f>SUM(F146:F159)</f>
        <v>1422.09</v>
      </c>
      <c r="G145" s="24" t="s">
        <v>3</v>
      </c>
      <c r="H145" s="24" t="s">
        <v>3</v>
      </c>
    </row>
    <row r="146" spans="1:8" x14ac:dyDescent="0.25">
      <c r="A146" s="5" t="s">
        <v>3</v>
      </c>
      <c r="B146" s="5" t="s">
        <v>3</v>
      </c>
      <c r="C146" s="5" t="s">
        <v>1330</v>
      </c>
      <c r="D146" s="6">
        <v>200</v>
      </c>
      <c r="E146" s="6">
        <v>0</v>
      </c>
      <c r="F146" s="6">
        <f>D146+E146</f>
        <v>200</v>
      </c>
      <c r="G146" s="5" t="s">
        <v>3</v>
      </c>
      <c r="H146" s="5" t="s">
        <v>3</v>
      </c>
    </row>
    <row r="147" spans="1:8" x14ac:dyDescent="0.25">
      <c r="A147" s="5" t="s">
        <v>3</v>
      </c>
      <c r="B147" s="5" t="s">
        <v>3</v>
      </c>
      <c r="C147" s="5" t="s">
        <v>1331</v>
      </c>
      <c r="D147" s="6">
        <v>183.2</v>
      </c>
      <c r="E147" s="6">
        <v>0</v>
      </c>
      <c r="F147" s="6">
        <f>D147+E147</f>
        <v>183.2</v>
      </c>
      <c r="G147" s="5" t="s">
        <v>3</v>
      </c>
      <c r="H147" s="5" t="s">
        <v>3</v>
      </c>
    </row>
    <row r="148" spans="1:8" x14ac:dyDescent="0.25">
      <c r="A148" s="5" t="s">
        <v>3</v>
      </c>
      <c r="B148" s="5" t="s">
        <v>3</v>
      </c>
      <c r="C148" s="5" t="s">
        <v>1332</v>
      </c>
      <c r="D148" s="6">
        <v>153.61</v>
      </c>
      <c r="E148" s="6">
        <v>0</v>
      </c>
      <c r="F148" s="6">
        <f>D148+E148</f>
        <v>153.61</v>
      </c>
      <c r="G148" s="5" t="s">
        <v>3</v>
      </c>
      <c r="H148" s="5" t="s">
        <v>3</v>
      </c>
    </row>
    <row r="149" spans="1:8" x14ac:dyDescent="0.25">
      <c r="A149" s="5" t="s">
        <v>3</v>
      </c>
      <c r="B149" s="5" t="s">
        <v>3</v>
      </c>
      <c r="C149" s="5" t="s">
        <v>1333</v>
      </c>
      <c r="D149" s="6">
        <v>145.09</v>
      </c>
      <c r="E149" s="6">
        <v>0</v>
      </c>
      <c r="F149" s="6">
        <f>D149+E149</f>
        <v>145.09</v>
      </c>
      <c r="G149" s="5" t="s">
        <v>3</v>
      </c>
      <c r="H149" s="5" t="s">
        <v>3</v>
      </c>
    </row>
    <row r="150" spans="1:8" x14ac:dyDescent="0.25">
      <c r="A150" s="5" t="s">
        <v>3</v>
      </c>
      <c r="B150" s="5" t="s">
        <v>3</v>
      </c>
      <c r="C150" s="5" t="s">
        <v>1334</v>
      </c>
      <c r="D150" s="6">
        <v>120.87</v>
      </c>
      <c r="E150" s="6">
        <v>0</v>
      </c>
      <c r="F150" s="6">
        <f>D150+E150</f>
        <v>120.87</v>
      </c>
      <c r="G150" s="5" t="s">
        <v>3</v>
      </c>
      <c r="H150" s="5" t="s">
        <v>3</v>
      </c>
    </row>
    <row r="151" spans="1:8" x14ac:dyDescent="0.25">
      <c r="A151" s="5" t="s">
        <v>3</v>
      </c>
      <c r="B151" s="5" t="s">
        <v>3</v>
      </c>
      <c r="C151" s="5" t="s">
        <v>1335</v>
      </c>
      <c r="D151" s="6">
        <v>118.58</v>
      </c>
      <c r="E151" s="6">
        <v>0</v>
      </c>
      <c r="F151" s="6">
        <f>D151+E151</f>
        <v>118.58</v>
      </c>
      <c r="G151" s="5" t="s">
        <v>3</v>
      </c>
      <c r="H151" s="5" t="s">
        <v>3</v>
      </c>
    </row>
    <row r="152" spans="1:8" x14ac:dyDescent="0.25">
      <c r="A152" s="5" t="s">
        <v>3</v>
      </c>
      <c r="B152" s="5" t="s">
        <v>3</v>
      </c>
      <c r="C152" s="5" t="s">
        <v>1336</v>
      </c>
      <c r="D152" s="6">
        <v>97.35</v>
      </c>
      <c r="E152" s="6">
        <v>0</v>
      </c>
      <c r="F152" s="6">
        <f>D152+E152</f>
        <v>97.35</v>
      </c>
      <c r="G152" s="5" t="s">
        <v>3</v>
      </c>
      <c r="H152" s="5" t="s">
        <v>3</v>
      </c>
    </row>
    <row r="153" spans="1:8" x14ac:dyDescent="0.25">
      <c r="A153" s="5" t="s">
        <v>3</v>
      </c>
      <c r="B153" s="5" t="s">
        <v>3</v>
      </c>
      <c r="C153" s="5" t="s">
        <v>1337</v>
      </c>
      <c r="D153" s="6">
        <v>95.36</v>
      </c>
      <c r="E153" s="6">
        <v>0</v>
      </c>
      <c r="F153" s="6">
        <f>D153+E153</f>
        <v>95.36</v>
      </c>
      <c r="G153" s="5" t="s">
        <v>3</v>
      </c>
      <c r="H153" s="5" t="s">
        <v>3</v>
      </c>
    </row>
    <row r="154" spans="1:8" x14ac:dyDescent="0.25">
      <c r="A154" s="5" t="s">
        <v>3</v>
      </c>
      <c r="B154" s="5" t="s">
        <v>3</v>
      </c>
      <c r="C154" s="5" t="s">
        <v>1338</v>
      </c>
      <c r="D154" s="6">
        <v>77.85</v>
      </c>
      <c r="E154" s="6">
        <v>0</v>
      </c>
      <c r="F154" s="6">
        <f>D154+E154</f>
        <v>77.85</v>
      </c>
      <c r="G154" s="5" t="s">
        <v>3</v>
      </c>
      <c r="H154" s="5" t="s">
        <v>3</v>
      </c>
    </row>
    <row r="155" spans="1:8" x14ac:dyDescent="0.25">
      <c r="A155" s="5" t="s">
        <v>3</v>
      </c>
      <c r="B155" s="5" t="s">
        <v>3</v>
      </c>
      <c r="C155" s="5" t="s">
        <v>1339</v>
      </c>
      <c r="D155" s="6">
        <v>67.96</v>
      </c>
      <c r="E155" s="6">
        <v>0</v>
      </c>
      <c r="F155" s="6">
        <f>D155+E155</f>
        <v>67.96</v>
      </c>
      <c r="G155" s="5" t="s">
        <v>3</v>
      </c>
      <c r="H155" s="5" t="s">
        <v>3</v>
      </c>
    </row>
    <row r="156" spans="1:8" x14ac:dyDescent="0.25">
      <c r="A156" s="5" t="s">
        <v>3</v>
      </c>
      <c r="B156" s="5" t="s">
        <v>3</v>
      </c>
      <c r="C156" s="5" t="s">
        <v>1340</v>
      </c>
      <c r="D156" s="6">
        <v>60.82</v>
      </c>
      <c r="E156" s="6">
        <v>0</v>
      </c>
      <c r="F156" s="6">
        <f>D156+E156</f>
        <v>60.82</v>
      </c>
      <c r="G156" s="5" t="s">
        <v>3</v>
      </c>
      <c r="H156" s="5" t="s">
        <v>3</v>
      </c>
    </row>
    <row r="157" spans="1:8" x14ac:dyDescent="0.25">
      <c r="A157" s="5" t="s">
        <v>3</v>
      </c>
      <c r="B157" s="5" t="s">
        <v>3</v>
      </c>
      <c r="C157" s="5" t="s">
        <v>1341</v>
      </c>
      <c r="D157" s="6">
        <v>49.74</v>
      </c>
      <c r="E157" s="6">
        <v>0</v>
      </c>
      <c r="F157" s="6">
        <f>D157+E157</f>
        <v>49.74</v>
      </c>
      <c r="G157" s="5" t="s">
        <v>3</v>
      </c>
      <c r="H157" s="5" t="s">
        <v>3</v>
      </c>
    </row>
    <row r="158" spans="1:8" x14ac:dyDescent="0.25">
      <c r="A158" s="5" t="s">
        <v>3</v>
      </c>
      <c r="B158" s="5" t="s">
        <v>3</v>
      </c>
      <c r="C158" s="5" t="s">
        <v>1342</v>
      </c>
      <c r="D158" s="6">
        <v>36.68</v>
      </c>
      <c r="E158" s="6">
        <v>0</v>
      </c>
      <c r="F158" s="6">
        <f>D158+E158</f>
        <v>36.68</v>
      </c>
      <c r="G158" s="5" t="s">
        <v>3</v>
      </c>
      <c r="H158" s="5" t="s">
        <v>3</v>
      </c>
    </row>
    <row r="159" spans="1:8" x14ac:dyDescent="0.25">
      <c r="A159" s="5" t="s">
        <v>3</v>
      </c>
      <c r="B159" s="5" t="s">
        <v>3</v>
      </c>
      <c r="C159" s="5" t="s">
        <v>1343</v>
      </c>
      <c r="D159" s="6">
        <v>14.98</v>
      </c>
      <c r="E159" s="6">
        <v>0</v>
      </c>
      <c r="F159" s="6">
        <f>D159+E159</f>
        <v>14.98</v>
      </c>
      <c r="G159" s="5" t="s">
        <v>3</v>
      </c>
      <c r="H159" s="5" t="s">
        <v>3</v>
      </c>
    </row>
    <row r="160" spans="1:8" x14ac:dyDescent="0.25">
      <c r="A160" s="24" t="s">
        <v>396</v>
      </c>
      <c r="B160" s="24" t="s">
        <v>397</v>
      </c>
      <c r="C160" s="24" t="s">
        <v>499</v>
      </c>
      <c r="D160" s="27">
        <f>SUM(D161:D161)</f>
        <v>120.86</v>
      </c>
      <c r="E160" s="27">
        <f>SUM(E161:E161)</f>
        <v>0</v>
      </c>
      <c r="F160" s="27">
        <f>SUM(F161:F161)</f>
        <v>120.86</v>
      </c>
      <c r="G160" s="24" t="s">
        <v>3</v>
      </c>
      <c r="H160" s="24" t="s">
        <v>3</v>
      </c>
    </row>
    <row r="161" spans="1:8" x14ac:dyDescent="0.25">
      <c r="A161" s="5" t="s">
        <v>3</v>
      </c>
      <c r="B161" s="5" t="s">
        <v>3</v>
      </c>
      <c r="C161" s="5" t="s">
        <v>1330</v>
      </c>
      <c r="D161" s="6">
        <v>120.86</v>
      </c>
      <c r="E161" s="6">
        <v>0</v>
      </c>
      <c r="F161" s="6">
        <f>D161+E161</f>
        <v>120.86</v>
      </c>
      <c r="G161" s="5" t="s">
        <v>3</v>
      </c>
      <c r="H161" s="5" t="s">
        <v>3</v>
      </c>
    </row>
    <row r="162" spans="1:8" x14ac:dyDescent="0.25">
      <c r="A162" s="24" t="s">
        <v>400</v>
      </c>
      <c r="B162" s="24" t="s">
        <v>401</v>
      </c>
      <c r="C162" s="24" t="s">
        <v>499</v>
      </c>
      <c r="D162" s="27">
        <f>SUM(D163:D165)</f>
        <v>3248.8</v>
      </c>
      <c r="E162" s="27">
        <f>SUM(E163:E165)</f>
        <v>0</v>
      </c>
      <c r="F162" s="27">
        <f>SUM(F163:F165)</f>
        <v>3248.8</v>
      </c>
      <c r="G162" s="24" t="s">
        <v>3</v>
      </c>
      <c r="H162" s="24" t="s">
        <v>3</v>
      </c>
    </row>
    <row r="163" spans="1:8" x14ac:dyDescent="0.25">
      <c r="A163" s="5" t="s">
        <v>3</v>
      </c>
      <c r="B163" s="5" t="s">
        <v>3</v>
      </c>
      <c r="C163" s="5" t="s">
        <v>826</v>
      </c>
      <c r="D163" s="6">
        <v>1877.55</v>
      </c>
      <c r="E163" s="6">
        <v>0</v>
      </c>
      <c r="F163" s="6">
        <f>D163+E163</f>
        <v>1877.55</v>
      </c>
      <c r="G163" s="5" t="s">
        <v>3</v>
      </c>
      <c r="H163" s="5" t="s">
        <v>3</v>
      </c>
    </row>
    <row r="164" spans="1:8" x14ac:dyDescent="0.25">
      <c r="A164" s="5" t="s">
        <v>3</v>
      </c>
      <c r="B164" s="5" t="s">
        <v>3</v>
      </c>
      <c r="C164" s="5" t="s">
        <v>1344</v>
      </c>
      <c r="D164" s="6">
        <v>982.8</v>
      </c>
      <c r="E164" s="6">
        <v>0</v>
      </c>
      <c r="F164" s="6">
        <f>D164+E164</f>
        <v>982.8</v>
      </c>
      <c r="G164" s="5" t="s">
        <v>3</v>
      </c>
      <c r="H164" s="5" t="s">
        <v>3</v>
      </c>
    </row>
    <row r="165" spans="1:8" x14ac:dyDescent="0.25">
      <c r="A165" s="5" t="s">
        <v>3</v>
      </c>
      <c r="B165" s="5" t="s">
        <v>3</v>
      </c>
      <c r="C165" s="5" t="s">
        <v>1345</v>
      </c>
      <c r="D165" s="6">
        <v>388.45</v>
      </c>
      <c r="E165" s="6">
        <v>0</v>
      </c>
      <c r="F165" s="6">
        <f>D165+E165</f>
        <v>388.45</v>
      </c>
      <c r="G165" s="5" t="s">
        <v>3</v>
      </c>
      <c r="H165" s="5" t="s">
        <v>3</v>
      </c>
    </row>
    <row r="166" spans="1:8" x14ac:dyDescent="0.25">
      <c r="A166" s="24" t="s">
        <v>406</v>
      </c>
      <c r="B166" s="24" t="s">
        <v>407</v>
      </c>
      <c r="C166" s="24" t="s">
        <v>499</v>
      </c>
      <c r="D166" s="27">
        <f>SUM(D167:D171)</f>
        <v>1510.32</v>
      </c>
      <c r="E166" s="27">
        <f>SUM(E167:E171)</f>
        <v>0</v>
      </c>
      <c r="F166" s="27">
        <f>SUM(F167:F171)</f>
        <v>1510.32</v>
      </c>
      <c r="G166" s="24" t="s">
        <v>3</v>
      </c>
      <c r="H166" s="24" t="s">
        <v>3</v>
      </c>
    </row>
    <row r="167" spans="1:8" x14ac:dyDescent="0.25">
      <c r="A167" s="5" t="s">
        <v>3</v>
      </c>
      <c r="B167" s="5" t="s">
        <v>3</v>
      </c>
      <c r="C167" s="5" t="s">
        <v>1346</v>
      </c>
      <c r="D167" s="6">
        <v>1079</v>
      </c>
      <c r="E167" s="6">
        <v>0</v>
      </c>
      <c r="F167" s="6">
        <f>D167+E167</f>
        <v>1079</v>
      </c>
      <c r="G167" s="5" t="s">
        <v>3</v>
      </c>
      <c r="H167" s="5" t="s">
        <v>3</v>
      </c>
    </row>
    <row r="168" spans="1:8" x14ac:dyDescent="0.25">
      <c r="A168" s="5" t="s">
        <v>3</v>
      </c>
      <c r="B168" s="5" t="s">
        <v>3</v>
      </c>
      <c r="C168" s="5" t="s">
        <v>635</v>
      </c>
      <c r="D168" s="6">
        <v>300</v>
      </c>
      <c r="E168" s="6">
        <v>0</v>
      </c>
      <c r="F168" s="6">
        <f>D168+E168</f>
        <v>300</v>
      </c>
      <c r="G168" s="5" t="s">
        <v>3</v>
      </c>
      <c r="H168" s="5" t="s">
        <v>3</v>
      </c>
    </row>
    <row r="169" spans="1:8" x14ac:dyDescent="0.25">
      <c r="A169" s="5" t="s">
        <v>3</v>
      </c>
      <c r="B169" s="5" t="s">
        <v>3</v>
      </c>
      <c r="C169" s="5" t="s">
        <v>1347</v>
      </c>
      <c r="D169" s="6">
        <v>80</v>
      </c>
      <c r="E169" s="6">
        <v>0</v>
      </c>
      <c r="F169" s="6">
        <f>D169+E169</f>
        <v>80</v>
      </c>
      <c r="G169" s="5" t="s">
        <v>3</v>
      </c>
      <c r="H169" s="5" t="s">
        <v>3</v>
      </c>
    </row>
    <row r="170" spans="1:8" x14ac:dyDescent="0.25">
      <c r="A170" s="5" t="s">
        <v>3</v>
      </c>
      <c r="B170" s="5" t="s">
        <v>3</v>
      </c>
      <c r="C170" s="5" t="s">
        <v>1348</v>
      </c>
      <c r="D170" s="6">
        <v>31.42</v>
      </c>
      <c r="E170" s="6">
        <v>0</v>
      </c>
      <c r="F170" s="6">
        <f>D170+E170</f>
        <v>31.42</v>
      </c>
      <c r="G170" s="5" t="s">
        <v>3</v>
      </c>
      <c r="H170" s="5" t="s">
        <v>3</v>
      </c>
    </row>
    <row r="171" spans="1:8" x14ac:dyDescent="0.25">
      <c r="A171" s="5" t="s">
        <v>3</v>
      </c>
      <c r="B171" s="5" t="s">
        <v>3</v>
      </c>
      <c r="C171" s="5" t="s">
        <v>1349</v>
      </c>
      <c r="D171" s="6">
        <v>19.9</v>
      </c>
      <c r="E171" s="6">
        <v>0</v>
      </c>
      <c r="F171" s="6">
        <f>D171+E171</f>
        <v>19.9</v>
      </c>
      <c r="G171" s="5" t="s">
        <v>3</v>
      </c>
      <c r="H171" s="5" t="s">
        <v>3</v>
      </c>
    </row>
    <row r="172" spans="1:8" x14ac:dyDescent="0.25">
      <c r="A172" s="24" t="s">
        <v>408</v>
      </c>
      <c r="B172" s="24" t="s">
        <v>409</v>
      </c>
      <c r="C172" s="24" t="s">
        <v>499</v>
      </c>
      <c r="D172" s="27">
        <f>SUM(D173:D173)</f>
        <v>121.25</v>
      </c>
      <c r="E172" s="27">
        <f>SUM(E173:E173)</f>
        <v>0</v>
      </c>
      <c r="F172" s="27">
        <f>SUM(F173:F173)</f>
        <v>121.25</v>
      </c>
      <c r="G172" s="24" t="s">
        <v>3</v>
      </c>
      <c r="H172" s="24" t="s">
        <v>3</v>
      </c>
    </row>
    <row r="173" spans="1:8" x14ac:dyDescent="0.25">
      <c r="A173" s="5" t="s">
        <v>3</v>
      </c>
      <c r="B173" s="5" t="s">
        <v>3</v>
      </c>
      <c r="C173" s="5" t="s">
        <v>643</v>
      </c>
      <c r="D173" s="6">
        <v>121.25</v>
      </c>
      <c r="E173" s="6">
        <v>0</v>
      </c>
      <c r="F173" s="6">
        <f>D173+E173</f>
        <v>121.25</v>
      </c>
      <c r="G173" s="5" t="s">
        <v>3</v>
      </c>
      <c r="H173" s="5" t="s">
        <v>3</v>
      </c>
    </row>
    <row r="174" spans="1:8" x14ac:dyDescent="0.25">
      <c r="A174" s="24" t="s">
        <v>410</v>
      </c>
      <c r="B174" s="24" t="s">
        <v>411</v>
      </c>
      <c r="C174" s="24" t="s">
        <v>499</v>
      </c>
      <c r="D174" s="27">
        <f>SUM(D175:D181)</f>
        <v>519.01</v>
      </c>
      <c r="E174" s="27">
        <f>SUM(E175:E181)</f>
        <v>0</v>
      </c>
      <c r="F174" s="27">
        <f>SUM(F175:F181)</f>
        <v>519.01</v>
      </c>
      <c r="G174" s="24" t="s">
        <v>3</v>
      </c>
      <c r="H174" s="24" t="s">
        <v>3</v>
      </c>
    </row>
    <row r="175" spans="1:8" x14ac:dyDescent="0.25">
      <c r="A175" s="5" t="s">
        <v>3</v>
      </c>
      <c r="B175" s="5" t="s">
        <v>3</v>
      </c>
      <c r="C175" s="5" t="s">
        <v>1350</v>
      </c>
      <c r="D175" s="6">
        <v>239.94</v>
      </c>
      <c r="E175" s="6">
        <v>0</v>
      </c>
      <c r="F175" s="6">
        <f>D175+E175</f>
        <v>239.94</v>
      </c>
      <c r="G175" s="5" t="s">
        <v>3</v>
      </c>
      <c r="H175" s="5" t="s">
        <v>3</v>
      </c>
    </row>
    <row r="176" spans="1:8" x14ac:dyDescent="0.25">
      <c r="A176" s="5" t="s">
        <v>3</v>
      </c>
      <c r="B176" s="5" t="s">
        <v>3</v>
      </c>
      <c r="C176" s="5" t="s">
        <v>1351</v>
      </c>
      <c r="D176" s="6">
        <v>120</v>
      </c>
      <c r="E176" s="6">
        <v>0</v>
      </c>
      <c r="F176" s="6">
        <f>D176+E176</f>
        <v>120</v>
      </c>
      <c r="G176" s="5" t="s">
        <v>3</v>
      </c>
      <c r="H176" s="5" t="s">
        <v>3</v>
      </c>
    </row>
    <row r="177" spans="1:8" x14ac:dyDescent="0.25">
      <c r="A177" s="5" t="s">
        <v>3</v>
      </c>
      <c r="B177" s="5" t="s">
        <v>3</v>
      </c>
      <c r="C177" s="5" t="s">
        <v>1352</v>
      </c>
      <c r="D177" s="6">
        <v>47.9</v>
      </c>
      <c r="E177" s="6">
        <v>0</v>
      </c>
      <c r="F177" s="6">
        <f>D177+E177</f>
        <v>47.9</v>
      </c>
      <c r="G177" s="5" t="s">
        <v>3</v>
      </c>
      <c r="H177" s="5" t="s">
        <v>3</v>
      </c>
    </row>
    <row r="178" spans="1:8" x14ac:dyDescent="0.25">
      <c r="A178" s="5" t="s">
        <v>3</v>
      </c>
      <c r="B178" s="5" t="s">
        <v>3</v>
      </c>
      <c r="C178" s="5" t="s">
        <v>1353</v>
      </c>
      <c r="D178" s="6">
        <v>38.69</v>
      </c>
      <c r="E178" s="6">
        <v>0</v>
      </c>
      <c r="F178" s="6">
        <f>D178+E178</f>
        <v>38.69</v>
      </c>
      <c r="G178" s="5" t="s">
        <v>3</v>
      </c>
      <c r="H178" s="5" t="s">
        <v>3</v>
      </c>
    </row>
    <row r="179" spans="1:8" x14ac:dyDescent="0.25">
      <c r="A179" s="5" t="s">
        <v>3</v>
      </c>
      <c r="B179" s="5" t="s">
        <v>3</v>
      </c>
      <c r="C179" s="5" t="s">
        <v>1354</v>
      </c>
      <c r="D179" s="6">
        <v>35.99</v>
      </c>
      <c r="E179" s="6">
        <v>0</v>
      </c>
      <c r="F179" s="6">
        <f>D179+E179</f>
        <v>35.99</v>
      </c>
      <c r="G179" s="5" t="s">
        <v>3</v>
      </c>
      <c r="H179" s="5" t="s">
        <v>3</v>
      </c>
    </row>
    <row r="180" spans="1:8" x14ac:dyDescent="0.25">
      <c r="A180" s="5" t="s">
        <v>3</v>
      </c>
      <c r="B180" s="5" t="s">
        <v>3</v>
      </c>
      <c r="C180" s="5" t="s">
        <v>1355</v>
      </c>
      <c r="D180" s="6">
        <v>23.5</v>
      </c>
      <c r="E180" s="6">
        <v>0</v>
      </c>
      <c r="F180" s="6">
        <f>D180+E180</f>
        <v>23.5</v>
      </c>
      <c r="G180" s="5" t="s">
        <v>3</v>
      </c>
      <c r="H180" s="5" t="s">
        <v>3</v>
      </c>
    </row>
    <row r="181" spans="1:8" x14ac:dyDescent="0.25">
      <c r="A181" s="5" t="s">
        <v>3</v>
      </c>
      <c r="B181" s="5" t="s">
        <v>3</v>
      </c>
      <c r="C181" s="5" t="s">
        <v>1356</v>
      </c>
      <c r="D181" s="6">
        <v>12.99</v>
      </c>
      <c r="E181" s="6">
        <v>0</v>
      </c>
      <c r="F181" s="6">
        <f>D181+E181</f>
        <v>12.99</v>
      </c>
      <c r="G181" s="5" t="s">
        <v>3</v>
      </c>
      <c r="H181" s="5" t="s">
        <v>3</v>
      </c>
    </row>
    <row r="182" spans="1:8" x14ac:dyDescent="0.25">
      <c r="A182" s="24" t="s">
        <v>414</v>
      </c>
      <c r="B182" s="24" t="s">
        <v>415</v>
      </c>
      <c r="C182" s="24" t="s">
        <v>499</v>
      </c>
      <c r="D182" s="27">
        <f>SUM(D183:D183)</f>
        <v>557.7</v>
      </c>
      <c r="E182" s="27">
        <f>SUM(E183:E183)</f>
        <v>0</v>
      </c>
      <c r="F182" s="27">
        <f>SUM(F183:F183)</f>
        <v>557.7</v>
      </c>
      <c r="G182" s="24" t="s">
        <v>3</v>
      </c>
      <c r="H182" s="24" t="s">
        <v>3</v>
      </c>
    </row>
    <row r="183" spans="1:8" x14ac:dyDescent="0.25">
      <c r="A183" s="5" t="s">
        <v>3</v>
      </c>
      <c r="B183" s="5" t="s">
        <v>3</v>
      </c>
      <c r="C183" s="5" t="s">
        <v>598</v>
      </c>
      <c r="D183" s="6">
        <v>557.7</v>
      </c>
      <c r="E183" s="6">
        <v>0</v>
      </c>
      <c r="F183" s="6">
        <f>D183+E183</f>
        <v>557.7</v>
      </c>
      <c r="G183" s="5" t="s">
        <v>3</v>
      </c>
      <c r="H183" s="5" t="s">
        <v>3</v>
      </c>
    </row>
    <row r="184" spans="1:8" x14ac:dyDescent="0.25">
      <c r="A184" s="24" t="s">
        <v>416</v>
      </c>
      <c r="B184" s="24" t="s">
        <v>417</v>
      </c>
      <c r="C184" s="24" t="s">
        <v>499</v>
      </c>
      <c r="D184" s="27">
        <f>SUM(D185:D188)</f>
        <v>4465.87</v>
      </c>
      <c r="E184" s="27">
        <f>SUM(E185:E188)</f>
        <v>0</v>
      </c>
      <c r="F184" s="27">
        <f>SUM(F185:F188)</f>
        <v>4465.87</v>
      </c>
      <c r="G184" s="24" t="s">
        <v>3</v>
      </c>
      <c r="H184" s="24" t="s">
        <v>3</v>
      </c>
    </row>
    <row r="185" spans="1:8" x14ac:dyDescent="0.25">
      <c r="A185" s="5" t="s">
        <v>3</v>
      </c>
      <c r="B185" s="5" t="s">
        <v>3</v>
      </c>
      <c r="C185" s="5" t="s">
        <v>1357</v>
      </c>
      <c r="D185" s="6">
        <v>3549.5</v>
      </c>
      <c r="E185" s="6">
        <v>0</v>
      </c>
      <c r="F185" s="6">
        <f>D185+E185</f>
        <v>3549.5</v>
      </c>
      <c r="G185" s="5" t="s">
        <v>3</v>
      </c>
      <c r="H185" s="5" t="s">
        <v>3</v>
      </c>
    </row>
    <row r="186" spans="1:8" x14ac:dyDescent="0.25">
      <c r="A186" s="5" t="s">
        <v>3</v>
      </c>
      <c r="B186" s="5" t="s">
        <v>3</v>
      </c>
      <c r="C186" s="5" t="s">
        <v>1358</v>
      </c>
      <c r="D186" s="6">
        <v>532.44</v>
      </c>
      <c r="E186" s="6">
        <v>0</v>
      </c>
      <c r="F186" s="6">
        <f>D186+E186</f>
        <v>532.44</v>
      </c>
      <c r="G186" s="5" t="s">
        <v>3</v>
      </c>
      <c r="H186" s="5" t="s">
        <v>3</v>
      </c>
    </row>
    <row r="187" spans="1:8" x14ac:dyDescent="0.25">
      <c r="A187" s="5" t="s">
        <v>3</v>
      </c>
      <c r="B187" s="5" t="s">
        <v>3</v>
      </c>
      <c r="C187" s="5" t="s">
        <v>1359</v>
      </c>
      <c r="D187" s="6">
        <v>354.95</v>
      </c>
      <c r="E187" s="6">
        <v>0</v>
      </c>
      <c r="F187" s="6">
        <f>D187+E187</f>
        <v>354.95</v>
      </c>
      <c r="G187" s="5" t="s">
        <v>3</v>
      </c>
      <c r="H187" s="5" t="s">
        <v>3</v>
      </c>
    </row>
    <row r="188" spans="1:8" x14ac:dyDescent="0.25">
      <c r="A188" s="5" t="s">
        <v>3</v>
      </c>
      <c r="B188" s="5" t="s">
        <v>3</v>
      </c>
      <c r="C188" s="5" t="s">
        <v>1360</v>
      </c>
      <c r="D188" s="6">
        <v>28.98</v>
      </c>
      <c r="E188" s="6">
        <v>0</v>
      </c>
      <c r="F188" s="6">
        <f>D188+E188</f>
        <v>28.98</v>
      </c>
      <c r="G188" s="5" t="s">
        <v>3</v>
      </c>
      <c r="H188" s="5" t="s">
        <v>3</v>
      </c>
    </row>
    <row r="189" spans="1:8" x14ac:dyDescent="0.25">
      <c r="A189" s="24" t="s">
        <v>420</v>
      </c>
      <c r="B189" s="24" t="s">
        <v>421</v>
      </c>
      <c r="C189" s="24" t="s">
        <v>499</v>
      </c>
      <c r="D189" s="27">
        <f>SUM(D190:D190)</f>
        <v>346.82</v>
      </c>
      <c r="E189" s="27">
        <f>SUM(E190:E190)</f>
        <v>0</v>
      </c>
      <c r="F189" s="27">
        <f>SUM(F190:F190)</f>
        <v>346.82</v>
      </c>
      <c r="G189" s="24" t="s">
        <v>3</v>
      </c>
      <c r="H189" s="24" t="s">
        <v>3</v>
      </c>
    </row>
    <row r="190" spans="1:8" x14ac:dyDescent="0.25">
      <c r="A190" s="5" t="s">
        <v>3</v>
      </c>
      <c r="B190" s="5" t="s">
        <v>3</v>
      </c>
      <c r="C190" s="5" t="s">
        <v>1361</v>
      </c>
      <c r="D190" s="6">
        <v>346.82</v>
      </c>
      <c r="E190" s="6">
        <v>0</v>
      </c>
      <c r="F190" s="6">
        <f>D190+E190</f>
        <v>346.82</v>
      </c>
      <c r="G190" s="5" t="s">
        <v>3</v>
      </c>
      <c r="H190" s="5" t="s">
        <v>3</v>
      </c>
    </row>
    <row r="191" spans="1:8" x14ac:dyDescent="0.25">
      <c r="A191" s="24" t="s">
        <v>422</v>
      </c>
      <c r="B191" s="24" t="s">
        <v>423</v>
      </c>
      <c r="C191" s="24" t="s">
        <v>499</v>
      </c>
      <c r="D191" s="27">
        <f>SUM(D192:D192)</f>
        <v>500</v>
      </c>
      <c r="E191" s="27">
        <f>SUM(E192:E192)</f>
        <v>0</v>
      </c>
      <c r="F191" s="27">
        <f>SUM(F192:F192)</f>
        <v>500</v>
      </c>
      <c r="G191" s="24" t="s">
        <v>3</v>
      </c>
      <c r="H191" s="24" t="s">
        <v>3</v>
      </c>
    </row>
    <row r="192" spans="1:8" x14ac:dyDescent="0.25">
      <c r="A192" s="5" t="s">
        <v>3</v>
      </c>
      <c r="B192" s="5" t="s">
        <v>3</v>
      </c>
      <c r="C192" s="5" t="s">
        <v>1362</v>
      </c>
      <c r="D192" s="6">
        <v>500</v>
      </c>
      <c r="E192" s="6">
        <v>0</v>
      </c>
      <c r="F192" s="6">
        <f>D192+E192</f>
        <v>500</v>
      </c>
      <c r="G192" s="5" t="s">
        <v>3</v>
      </c>
      <c r="H192" s="5" t="s">
        <v>3</v>
      </c>
    </row>
    <row r="193" spans="1:8" x14ac:dyDescent="0.25">
      <c r="A193" s="24" t="s">
        <v>424</v>
      </c>
      <c r="B193" s="24" t="s">
        <v>425</v>
      </c>
      <c r="C193" s="24" t="s">
        <v>499</v>
      </c>
      <c r="D193" s="27">
        <f>SUM(D194:D194)</f>
        <v>1182057.66</v>
      </c>
      <c r="E193" s="27">
        <f>SUM(E194:E194)</f>
        <v>0</v>
      </c>
      <c r="F193" s="27">
        <f>SUM(F194:F194)</f>
        <v>1182057.66</v>
      </c>
      <c r="G193" s="24" t="s">
        <v>3</v>
      </c>
      <c r="H193" s="24" t="s">
        <v>3</v>
      </c>
    </row>
    <row r="194" spans="1:8" x14ac:dyDescent="0.25">
      <c r="A194" s="5" t="s">
        <v>3</v>
      </c>
      <c r="B194" s="5" t="s">
        <v>3</v>
      </c>
      <c r="C194" s="5" t="s">
        <v>657</v>
      </c>
      <c r="D194" s="6">
        <v>1182057.66</v>
      </c>
      <c r="E194" s="6">
        <v>0</v>
      </c>
      <c r="F194" s="6">
        <f>D194+E194</f>
        <v>1182057.66</v>
      </c>
      <c r="G194" s="5" t="s">
        <v>3</v>
      </c>
      <c r="H194" s="5" t="s">
        <v>3</v>
      </c>
    </row>
    <row r="195" spans="1:8" x14ac:dyDescent="0.25">
      <c r="A195" s="24" t="s">
        <v>426</v>
      </c>
      <c r="B195" s="24" t="s">
        <v>427</v>
      </c>
      <c r="C195" s="24" t="s">
        <v>499</v>
      </c>
      <c r="D195" s="27">
        <f>SUM(D196:D196)</f>
        <v>699509.67</v>
      </c>
      <c r="E195" s="27">
        <f>SUM(E196:E196)</f>
        <v>0</v>
      </c>
      <c r="F195" s="27">
        <f>SUM(F196:F196)</f>
        <v>699509.67</v>
      </c>
      <c r="G195" s="24" t="s">
        <v>3</v>
      </c>
      <c r="H195" s="24" t="s">
        <v>3</v>
      </c>
    </row>
    <row r="196" spans="1:8" x14ac:dyDescent="0.25">
      <c r="A196" s="5" t="s">
        <v>3</v>
      </c>
      <c r="B196" s="5" t="s">
        <v>3</v>
      </c>
      <c r="C196" s="5" t="s">
        <v>658</v>
      </c>
      <c r="D196" s="6">
        <v>699509.67</v>
      </c>
      <c r="E196" s="6">
        <v>0</v>
      </c>
      <c r="F196" s="6">
        <f>D196+E196</f>
        <v>699509.67</v>
      </c>
      <c r="G196" s="5" t="s">
        <v>3</v>
      </c>
      <c r="H196" s="5" t="s">
        <v>3</v>
      </c>
    </row>
    <row r="197" spans="1:8" x14ac:dyDescent="0.25">
      <c r="A197" s="24" t="s">
        <v>430</v>
      </c>
      <c r="B197" s="24" t="s">
        <v>431</v>
      </c>
      <c r="C197" s="24" t="s">
        <v>499</v>
      </c>
      <c r="D197" s="27">
        <f>SUM(D198:D207)</f>
        <v>59310.11</v>
      </c>
      <c r="E197" s="27">
        <f>SUM(E198:E207)</f>
        <v>0</v>
      </c>
      <c r="F197" s="27">
        <f>SUM(F198:F207)</f>
        <v>59310.11</v>
      </c>
      <c r="G197" s="24" t="s">
        <v>3</v>
      </c>
      <c r="H197" s="24" t="s">
        <v>3</v>
      </c>
    </row>
    <row r="198" spans="1:8" x14ac:dyDescent="0.25">
      <c r="A198" s="5" t="s">
        <v>3</v>
      </c>
      <c r="B198" s="5" t="s">
        <v>3</v>
      </c>
      <c r="C198" s="5" t="s">
        <v>90</v>
      </c>
      <c r="D198" s="6">
        <v>27500</v>
      </c>
      <c r="E198" s="6">
        <v>0</v>
      </c>
      <c r="F198" s="6">
        <f>D198+E198</f>
        <v>27500</v>
      </c>
      <c r="G198" s="5" t="s">
        <v>3</v>
      </c>
      <c r="H198" s="5" t="s">
        <v>3</v>
      </c>
    </row>
    <row r="199" spans="1:8" x14ac:dyDescent="0.25">
      <c r="A199" s="5" t="s">
        <v>3</v>
      </c>
      <c r="B199" s="5" t="s">
        <v>3</v>
      </c>
      <c r="C199" s="5" t="s">
        <v>55</v>
      </c>
      <c r="D199" s="6">
        <v>20000</v>
      </c>
      <c r="E199" s="6">
        <v>0</v>
      </c>
      <c r="F199" s="6">
        <f>D199+E199</f>
        <v>20000</v>
      </c>
      <c r="G199" s="5" t="s">
        <v>3</v>
      </c>
      <c r="H199" s="5" t="s">
        <v>3</v>
      </c>
    </row>
    <row r="200" spans="1:8" x14ac:dyDescent="0.25">
      <c r="A200" s="5" t="s">
        <v>3</v>
      </c>
      <c r="B200" s="5" t="s">
        <v>3</v>
      </c>
      <c r="C200" s="5" t="s">
        <v>58</v>
      </c>
      <c r="D200" s="6">
        <v>5000</v>
      </c>
      <c r="E200" s="6">
        <v>0</v>
      </c>
      <c r="F200" s="6">
        <f>D200+E200</f>
        <v>5000</v>
      </c>
      <c r="G200" s="5" t="s">
        <v>3</v>
      </c>
      <c r="H200" s="5" t="s">
        <v>3</v>
      </c>
    </row>
    <row r="201" spans="1:8" x14ac:dyDescent="0.25">
      <c r="A201" s="5" t="s">
        <v>3</v>
      </c>
      <c r="B201" s="5" t="s">
        <v>3</v>
      </c>
      <c r="C201" s="5" t="s">
        <v>1363</v>
      </c>
      <c r="D201" s="6">
        <v>2500</v>
      </c>
      <c r="E201" s="6">
        <v>0</v>
      </c>
      <c r="F201" s="6">
        <f>D201+E201</f>
        <v>2500</v>
      </c>
      <c r="G201" s="5" t="s">
        <v>3</v>
      </c>
      <c r="H201" s="5" t="s">
        <v>3</v>
      </c>
    </row>
    <row r="202" spans="1:8" x14ac:dyDescent="0.25">
      <c r="A202" s="5" t="s">
        <v>3</v>
      </c>
      <c r="B202" s="5" t="s">
        <v>3</v>
      </c>
      <c r="C202" s="5" t="s">
        <v>60</v>
      </c>
      <c r="D202" s="6">
        <v>1173.61</v>
      </c>
      <c r="E202" s="6">
        <v>0</v>
      </c>
      <c r="F202" s="6">
        <f>D202+E202</f>
        <v>1173.61</v>
      </c>
      <c r="G202" s="5" t="s">
        <v>3</v>
      </c>
      <c r="H202" s="5" t="s">
        <v>3</v>
      </c>
    </row>
    <row r="203" spans="1:8" x14ac:dyDescent="0.25">
      <c r="A203" s="5" t="s">
        <v>3</v>
      </c>
      <c r="B203" s="5" t="s">
        <v>3</v>
      </c>
      <c r="C203" s="5" t="s">
        <v>64</v>
      </c>
      <c r="D203" s="6">
        <v>1100</v>
      </c>
      <c r="E203" s="6">
        <v>0</v>
      </c>
      <c r="F203" s="6">
        <f>D203+E203</f>
        <v>1100</v>
      </c>
      <c r="G203" s="5" t="s">
        <v>3</v>
      </c>
      <c r="H203" s="5" t="s">
        <v>3</v>
      </c>
    </row>
    <row r="204" spans="1:8" x14ac:dyDescent="0.25">
      <c r="A204" s="5" t="s">
        <v>3</v>
      </c>
      <c r="B204" s="5" t="s">
        <v>3</v>
      </c>
      <c r="C204" s="5" t="s">
        <v>1364</v>
      </c>
      <c r="D204" s="6">
        <v>600</v>
      </c>
      <c r="E204" s="6">
        <v>0</v>
      </c>
      <c r="F204" s="6">
        <f>D204+E204</f>
        <v>600</v>
      </c>
      <c r="G204" s="5" t="s">
        <v>3</v>
      </c>
      <c r="H204" s="5" t="s">
        <v>3</v>
      </c>
    </row>
    <row r="205" spans="1:8" x14ac:dyDescent="0.25">
      <c r="A205" s="5" t="s">
        <v>3</v>
      </c>
      <c r="B205" s="5" t="s">
        <v>3</v>
      </c>
      <c r="C205" s="5" t="s">
        <v>1365</v>
      </c>
      <c r="D205" s="6">
        <v>600</v>
      </c>
      <c r="E205" s="6">
        <v>0</v>
      </c>
      <c r="F205" s="6">
        <f>D205+E205</f>
        <v>600</v>
      </c>
      <c r="G205" s="5" t="s">
        <v>3</v>
      </c>
      <c r="H205" s="5" t="s">
        <v>3</v>
      </c>
    </row>
    <row r="206" spans="1:8" x14ac:dyDescent="0.25">
      <c r="A206" s="5" t="s">
        <v>3</v>
      </c>
      <c r="B206" s="5" t="s">
        <v>3</v>
      </c>
      <c r="C206" s="5" t="s">
        <v>70</v>
      </c>
      <c r="D206" s="6">
        <v>436.5</v>
      </c>
      <c r="E206" s="6">
        <v>0</v>
      </c>
      <c r="F206" s="6">
        <f>D206+E206</f>
        <v>436.5</v>
      </c>
      <c r="G206" s="5" t="s">
        <v>3</v>
      </c>
      <c r="H206" s="5" t="s">
        <v>3</v>
      </c>
    </row>
    <row r="207" spans="1:8" x14ac:dyDescent="0.25">
      <c r="A207" s="5" t="s">
        <v>3</v>
      </c>
      <c r="B207" s="5" t="s">
        <v>3</v>
      </c>
      <c r="C207" s="5" t="s">
        <v>1366</v>
      </c>
      <c r="D207" s="6">
        <v>400</v>
      </c>
      <c r="E207" s="6">
        <v>0</v>
      </c>
      <c r="F207" s="6">
        <f>D207+E207</f>
        <v>400</v>
      </c>
      <c r="G207" s="5" t="s">
        <v>3</v>
      </c>
      <c r="H207" s="5" t="s">
        <v>3</v>
      </c>
    </row>
    <row r="208" spans="1:8" x14ac:dyDescent="0.25">
      <c r="A208" s="24" t="s">
        <v>434</v>
      </c>
      <c r="B208" s="24" t="s">
        <v>435</v>
      </c>
      <c r="C208" s="24" t="s">
        <v>499</v>
      </c>
      <c r="D208" s="27">
        <f>SUM(D209:D209)</f>
        <v>28.98</v>
      </c>
      <c r="E208" s="27">
        <f>SUM(E209:E209)</f>
        <v>0</v>
      </c>
      <c r="F208" s="27">
        <f>SUM(F209:F209)</f>
        <v>28.98</v>
      </c>
      <c r="G208" s="24" t="s">
        <v>3</v>
      </c>
      <c r="H208" s="24" t="s">
        <v>3</v>
      </c>
    </row>
    <row r="209" spans="1:8" x14ac:dyDescent="0.25">
      <c r="A209" s="5" t="s">
        <v>3</v>
      </c>
      <c r="B209" s="5" t="s">
        <v>3</v>
      </c>
      <c r="C209" s="5" t="s">
        <v>613</v>
      </c>
      <c r="D209" s="6">
        <v>28.98</v>
      </c>
      <c r="E209" s="6">
        <v>0</v>
      </c>
      <c r="F209" s="6">
        <f>D209+E209</f>
        <v>28.98</v>
      </c>
      <c r="G209" s="5" t="s">
        <v>3</v>
      </c>
      <c r="H209" s="5" t="s">
        <v>3</v>
      </c>
    </row>
    <row r="210" spans="1:8" x14ac:dyDescent="0.25">
      <c r="A210" s="24" t="s">
        <v>448</v>
      </c>
      <c r="B210" s="24" t="s">
        <v>449</v>
      </c>
      <c r="C210" s="24" t="s">
        <v>499</v>
      </c>
      <c r="D210" s="27">
        <f>SUM(D211:D213)</f>
        <v>1145.49</v>
      </c>
      <c r="E210" s="27">
        <f>SUM(E211:E213)</f>
        <v>0</v>
      </c>
      <c r="F210" s="27">
        <f>SUM(F211:F213)</f>
        <v>1145.49</v>
      </c>
      <c r="G210" s="24" t="s">
        <v>3</v>
      </c>
      <c r="H210" s="24" t="s">
        <v>3</v>
      </c>
    </row>
    <row r="211" spans="1:8" x14ac:dyDescent="0.25">
      <c r="A211" s="5" t="s">
        <v>3</v>
      </c>
      <c r="B211" s="5" t="s">
        <v>3</v>
      </c>
      <c r="C211" s="5" t="s">
        <v>1367</v>
      </c>
      <c r="D211" s="6">
        <v>1061.55</v>
      </c>
      <c r="E211" s="6">
        <v>0</v>
      </c>
      <c r="F211" s="6">
        <f>D211+E211</f>
        <v>1061.55</v>
      </c>
      <c r="G211" s="5" t="s">
        <v>3</v>
      </c>
      <c r="H211" s="5" t="s">
        <v>3</v>
      </c>
    </row>
    <row r="212" spans="1:8" x14ac:dyDescent="0.25">
      <c r="A212" s="5" t="s">
        <v>3</v>
      </c>
      <c r="B212" s="5" t="s">
        <v>3</v>
      </c>
      <c r="C212" s="5" t="s">
        <v>665</v>
      </c>
      <c r="D212" s="6">
        <v>80.74</v>
      </c>
      <c r="E212" s="6">
        <v>0</v>
      </c>
      <c r="F212" s="6">
        <f>D212+E212</f>
        <v>80.74</v>
      </c>
      <c r="G212" s="5" t="s">
        <v>3</v>
      </c>
      <c r="H212" s="5" t="s">
        <v>3</v>
      </c>
    </row>
    <row r="213" spans="1:8" x14ac:dyDescent="0.25">
      <c r="A213" s="5" t="s">
        <v>3</v>
      </c>
      <c r="B213" s="5" t="s">
        <v>3</v>
      </c>
      <c r="C213" s="5" t="s">
        <v>1368</v>
      </c>
      <c r="D213" s="6">
        <v>3.2</v>
      </c>
      <c r="E213" s="6">
        <v>0</v>
      </c>
      <c r="F213" s="6">
        <f>D213+E213</f>
        <v>3.2</v>
      </c>
      <c r="G213" s="5" t="s">
        <v>3</v>
      </c>
      <c r="H213" s="5" t="s">
        <v>3</v>
      </c>
    </row>
    <row r="214" spans="1:8" x14ac:dyDescent="0.25">
      <c r="A214" s="24" t="s">
        <v>450</v>
      </c>
      <c r="B214" s="24" t="s">
        <v>451</v>
      </c>
      <c r="C214" s="24" t="s">
        <v>499</v>
      </c>
      <c r="D214" s="27">
        <f>SUM(D215:D215)</f>
        <v>13309.18</v>
      </c>
      <c r="E214" s="27">
        <f>SUM(E215:E215)</f>
        <v>0</v>
      </c>
      <c r="F214" s="27">
        <f>SUM(F215:F215)</f>
        <v>13309.18</v>
      </c>
      <c r="G214" s="24" t="s">
        <v>3</v>
      </c>
      <c r="H214" s="24" t="s">
        <v>3</v>
      </c>
    </row>
    <row r="215" spans="1:8" x14ac:dyDescent="0.25">
      <c r="A215" s="5" t="s">
        <v>3</v>
      </c>
      <c r="B215" s="5" t="s">
        <v>3</v>
      </c>
      <c r="C215" s="5" t="s">
        <v>666</v>
      </c>
      <c r="D215" s="6">
        <v>13309.18</v>
      </c>
      <c r="E215" s="6">
        <v>0</v>
      </c>
      <c r="F215" s="6">
        <f>D215+E215</f>
        <v>13309.18</v>
      </c>
      <c r="G215" s="5" t="s">
        <v>3</v>
      </c>
      <c r="H215" s="5" t="s">
        <v>3</v>
      </c>
    </row>
    <row r="216" spans="1:8" x14ac:dyDescent="0.25">
      <c r="A216" s="24" t="s">
        <v>454</v>
      </c>
      <c r="B216" s="24" t="s">
        <v>455</v>
      </c>
      <c r="C216" s="24" t="s">
        <v>499</v>
      </c>
      <c r="D216" s="27">
        <f>SUM(D217:D219)</f>
        <v>8780</v>
      </c>
      <c r="E216" s="27">
        <f>SUM(E217:E219)</f>
        <v>0</v>
      </c>
      <c r="F216" s="27">
        <f>SUM(F217:F219)</f>
        <v>8780</v>
      </c>
      <c r="G216" s="24" t="s">
        <v>3</v>
      </c>
      <c r="H216" s="24" t="s">
        <v>3</v>
      </c>
    </row>
    <row r="217" spans="1:8" x14ac:dyDescent="0.25">
      <c r="A217" s="5" t="s">
        <v>3</v>
      </c>
      <c r="B217" s="5" t="s">
        <v>3</v>
      </c>
      <c r="C217" s="5" t="s">
        <v>670</v>
      </c>
      <c r="D217" s="6">
        <v>4780</v>
      </c>
      <c r="E217" s="6">
        <v>0</v>
      </c>
      <c r="F217" s="6">
        <f>D217+E217</f>
        <v>4780</v>
      </c>
      <c r="G217" s="5" t="s">
        <v>3</v>
      </c>
      <c r="H217" s="5" t="s">
        <v>3</v>
      </c>
    </row>
    <row r="218" spans="1:8" x14ac:dyDescent="0.25">
      <c r="A218" s="5" t="s">
        <v>3</v>
      </c>
      <c r="B218" s="5" t="s">
        <v>3</v>
      </c>
      <c r="C218" s="5" t="s">
        <v>840</v>
      </c>
      <c r="D218" s="6">
        <v>2000</v>
      </c>
      <c r="E218" s="6">
        <v>0</v>
      </c>
      <c r="F218" s="6">
        <f>D218+E218</f>
        <v>2000</v>
      </c>
      <c r="G218" s="5" t="s">
        <v>3</v>
      </c>
      <c r="H218" s="5" t="s">
        <v>3</v>
      </c>
    </row>
    <row r="219" spans="1:8" x14ac:dyDescent="0.25">
      <c r="A219" s="5" t="s">
        <v>3</v>
      </c>
      <c r="B219" s="5" t="s">
        <v>3</v>
      </c>
      <c r="C219" s="5" t="s">
        <v>248</v>
      </c>
      <c r="D219" s="6">
        <v>2000</v>
      </c>
      <c r="E219" s="6">
        <v>0</v>
      </c>
      <c r="F219" s="6">
        <f>D219+E219</f>
        <v>2000</v>
      </c>
      <c r="G219" s="5" t="s">
        <v>3</v>
      </c>
      <c r="H219" s="5" t="s">
        <v>3</v>
      </c>
    </row>
    <row r="220" spans="1:8" x14ac:dyDescent="0.25">
      <c r="A220" s="24" t="s">
        <v>456</v>
      </c>
      <c r="B220" s="24" t="s">
        <v>457</v>
      </c>
      <c r="C220" s="24" t="s">
        <v>499</v>
      </c>
      <c r="D220" s="27">
        <f>SUM(D221:D221)</f>
        <v>7500</v>
      </c>
      <c r="E220" s="27">
        <f>SUM(E221:E221)</f>
        <v>0</v>
      </c>
      <c r="F220" s="27">
        <f>SUM(F221:F221)</f>
        <v>7500</v>
      </c>
      <c r="G220" s="24" t="s">
        <v>3</v>
      </c>
      <c r="H220" s="24" t="s">
        <v>3</v>
      </c>
    </row>
    <row r="221" spans="1:8" x14ac:dyDescent="0.25">
      <c r="A221" s="5" t="s">
        <v>3</v>
      </c>
      <c r="B221" s="5" t="s">
        <v>3</v>
      </c>
      <c r="C221" s="5" t="s">
        <v>671</v>
      </c>
      <c r="D221" s="6">
        <v>7500</v>
      </c>
      <c r="E221" s="6">
        <v>0</v>
      </c>
      <c r="F221" s="6">
        <f>D221+E221</f>
        <v>7500</v>
      </c>
      <c r="G221" s="5" t="s">
        <v>3</v>
      </c>
      <c r="H221" s="5" t="s">
        <v>3</v>
      </c>
    </row>
    <row r="222" spans="1:8" x14ac:dyDescent="0.25">
      <c r="A222" s="24" t="s">
        <v>458</v>
      </c>
      <c r="B222" s="24" t="s">
        <v>459</v>
      </c>
      <c r="C222" s="24" t="s">
        <v>499</v>
      </c>
      <c r="D222" s="27">
        <f>SUM(D223:D284)</f>
        <v>887764.78</v>
      </c>
      <c r="E222" s="27">
        <f>SUM(E223:E284)</f>
        <v>-107130</v>
      </c>
      <c r="F222" s="27">
        <f>SUM(F223:F284)</f>
        <v>780634.78</v>
      </c>
      <c r="G222" s="24" t="s">
        <v>3</v>
      </c>
      <c r="H222" s="24" t="s">
        <v>3</v>
      </c>
    </row>
    <row r="223" spans="1:8" x14ac:dyDescent="0.25">
      <c r="A223" s="5" t="s">
        <v>3</v>
      </c>
      <c r="B223" s="5" t="s">
        <v>3</v>
      </c>
      <c r="C223" s="5" t="s">
        <v>126</v>
      </c>
      <c r="D223" s="6">
        <v>30000</v>
      </c>
      <c r="E223" s="14">
        <v>-30000</v>
      </c>
      <c r="F223" s="6">
        <f>D223+E223</f>
        <v>0</v>
      </c>
      <c r="G223" s="15" t="s">
        <v>1297</v>
      </c>
      <c r="H223" s="5" t="s">
        <v>3</v>
      </c>
    </row>
    <row r="224" spans="1:8" x14ac:dyDescent="0.25">
      <c r="A224" s="5" t="s">
        <v>3</v>
      </c>
      <c r="B224" s="5" t="s">
        <v>3</v>
      </c>
      <c r="C224" s="5" t="s">
        <v>128</v>
      </c>
      <c r="D224" s="6">
        <v>26000</v>
      </c>
      <c r="E224" s="14">
        <v>-26000</v>
      </c>
      <c r="F224" s="6">
        <f>D224+E224</f>
        <v>0</v>
      </c>
      <c r="G224" s="15" t="s">
        <v>1369</v>
      </c>
      <c r="H224" s="5" t="s">
        <v>3</v>
      </c>
    </row>
    <row r="225" spans="1:8" x14ac:dyDescent="0.25">
      <c r="A225" s="5" t="s">
        <v>3</v>
      </c>
      <c r="B225" s="5" t="s">
        <v>3</v>
      </c>
      <c r="C225" s="5" t="s">
        <v>72</v>
      </c>
      <c r="D225" s="6">
        <v>22000</v>
      </c>
      <c r="E225" s="14">
        <v>-22000</v>
      </c>
      <c r="F225" s="6">
        <f>D225+E225</f>
        <v>0</v>
      </c>
      <c r="G225" s="15" t="s">
        <v>1298</v>
      </c>
      <c r="H225" s="5" t="s">
        <v>3</v>
      </c>
    </row>
    <row r="226" spans="1:8" x14ac:dyDescent="0.25">
      <c r="A226" s="5" t="s">
        <v>3</v>
      </c>
      <c r="B226" s="5" t="s">
        <v>3</v>
      </c>
      <c r="C226" s="5" t="s">
        <v>136</v>
      </c>
      <c r="D226" s="6">
        <v>21280</v>
      </c>
      <c r="E226" s="14">
        <v>-21280</v>
      </c>
      <c r="F226" s="6">
        <f>D226+E226</f>
        <v>0</v>
      </c>
      <c r="G226" s="15" t="s">
        <v>1299</v>
      </c>
      <c r="H226" s="5" t="s">
        <v>3</v>
      </c>
    </row>
    <row r="227" spans="1:8" x14ac:dyDescent="0.25">
      <c r="A227" s="5" t="s">
        <v>3</v>
      </c>
      <c r="B227" s="5" t="s">
        <v>3</v>
      </c>
      <c r="C227" s="5" t="s">
        <v>290</v>
      </c>
      <c r="D227" s="6">
        <v>7850</v>
      </c>
      <c r="E227" s="14">
        <v>-7850</v>
      </c>
      <c r="F227" s="6">
        <f>D227+E227</f>
        <v>0</v>
      </c>
      <c r="G227" s="15" t="s">
        <v>1302</v>
      </c>
      <c r="H227" s="5" t="s">
        <v>3</v>
      </c>
    </row>
    <row r="228" spans="1:8" x14ac:dyDescent="0.25">
      <c r="A228" s="5" t="s">
        <v>3</v>
      </c>
      <c r="B228" s="5" t="s">
        <v>3</v>
      </c>
      <c r="C228" s="5" t="s">
        <v>503</v>
      </c>
      <c r="D228" s="6">
        <v>50000</v>
      </c>
      <c r="E228" s="6">
        <v>0</v>
      </c>
      <c r="F228" s="6">
        <f>D228+E228</f>
        <v>50000</v>
      </c>
      <c r="G228" s="5" t="s">
        <v>3</v>
      </c>
      <c r="H228" s="5" t="s">
        <v>3</v>
      </c>
    </row>
    <row r="229" spans="1:8" x14ac:dyDescent="0.25">
      <c r="A229" s="5" t="s">
        <v>3</v>
      </c>
      <c r="B229" s="5" t="s">
        <v>3</v>
      </c>
      <c r="C229" s="5" t="s">
        <v>185</v>
      </c>
      <c r="D229" s="6">
        <v>46863</v>
      </c>
      <c r="E229" s="6">
        <v>0</v>
      </c>
      <c r="F229" s="6">
        <f>D229+E229</f>
        <v>46863</v>
      </c>
      <c r="G229" s="5" t="s">
        <v>3</v>
      </c>
      <c r="H229" s="5" t="s">
        <v>3</v>
      </c>
    </row>
    <row r="230" spans="1:8" x14ac:dyDescent="0.25">
      <c r="A230" s="5" t="s">
        <v>3</v>
      </c>
      <c r="B230" s="5" t="s">
        <v>3</v>
      </c>
      <c r="C230" s="5" t="s">
        <v>273</v>
      </c>
      <c r="D230" s="6">
        <v>45000</v>
      </c>
      <c r="E230" s="6">
        <v>0</v>
      </c>
      <c r="F230" s="6">
        <f>D230+E230</f>
        <v>45000</v>
      </c>
      <c r="G230" s="5" t="s">
        <v>3</v>
      </c>
      <c r="H230" s="5" t="s">
        <v>3</v>
      </c>
    </row>
    <row r="231" spans="1:8" x14ac:dyDescent="0.25">
      <c r="A231" s="5" t="s">
        <v>3</v>
      </c>
      <c r="B231" s="5" t="s">
        <v>3</v>
      </c>
      <c r="C231" s="5" t="s">
        <v>745</v>
      </c>
      <c r="D231" s="6">
        <v>40000</v>
      </c>
      <c r="E231" s="6">
        <v>0</v>
      </c>
      <c r="F231" s="6">
        <f>D231+E231</f>
        <v>40000</v>
      </c>
      <c r="G231" s="5" t="s">
        <v>3</v>
      </c>
      <c r="H231" s="5" t="s">
        <v>3</v>
      </c>
    </row>
    <row r="232" spans="1:8" x14ac:dyDescent="0.25">
      <c r="A232" s="5" t="s">
        <v>3</v>
      </c>
      <c r="B232" s="5" t="s">
        <v>3</v>
      </c>
      <c r="C232" s="5" t="s">
        <v>833</v>
      </c>
      <c r="D232" s="6">
        <v>36000</v>
      </c>
      <c r="E232" s="6">
        <v>0</v>
      </c>
      <c r="F232" s="6">
        <f>D232+E232</f>
        <v>36000</v>
      </c>
      <c r="G232" s="5" t="s">
        <v>3</v>
      </c>
      <c r="H232" s="5" t="s">
        <v>3</v>
      </c>
    </row>
    <row r="233" spans="1:8" x14ac:dyDescent="0.25">
      <c r="A233" s="5" t="s">
        <v>3</v>
      </c>
      <c r="B233" s="5" t="s">
        <v>3</v>
      </c>
      <c r="C233" s="5" t="s">
        <v>1026</v>
      </c>
      <c r="D233" s="6">
        <v>35533.33</v>
      </c>
      <c r="E233" s="6">
        <v>0</v>
      </c>
      <c r="F233" s="6">
        <f>D233+E233</f>
        <v>35533.33</v>
      </c>
      <c r="G233" s="5" t="s">
        <v>3</v>
      </c>
      <c r="H233" s="5" t="s">
        <v>3</v>
      </c>
    </row>
    <row r="234" spans="1:8" x14ac:dyDescent="0.25">
      <c r="A234" s="5" t="s">
        <v>3</v>
      </c>
      <c r="B234" s="5" t="s">
        <v>3</v>
      </c>
      <c r="C234" s="5" t="s">
        <v>85</v>
      </c>
      <c r="D234" s="6">
        <v>35000</v>
      </c>
      <c r="E234" s="6">
        <v>0</v>
      </c>
      <c r="F234" s="6">
        <f>D234+E234</f>
        <v>35000</v>
      </c>
      <c r="G234" s="5" t="s">
        <v>3</v>
      </c>
      <c r="H234" s="5" t="s">
        <v>3</v>
      </c>
    </row>
    <row r="235" spans="1:8" x14ac:dyDescent="0.25">
      <c r="A235" s="5" t="s">
        <v>3</v>
      </c>
      <c r="B235" s="5" t="s">
        <v>3</v>
      </c>
      <c r="C235" s="5" t="s">
        <v>88</v>
      </c>
      <c r="D235" s="6">
        <v>31278</v>
      </c>
      <c r="E235" s="6">
        <v>0</v>
      </c>
      <c r="F235" s="6">
        <f>D235+E235</f>
        <v>31278</v>
      </c>
      <c r="G235" s="5" t="s">
        <v>3</v>
      </c>
      <c r="H235" s="5" t="s">
        <v>3</v>
      </c>
    </row>
    <row r="236" spans="1:8" x14ac:dyDescent="0.25">
      <c r="A236" s="5" t="s">
        <v>3</v>
      </c>
      <c r="B236" s="5" t="s">
        <v>3</v>
      </c>
      <c r="C236" s="5" t="s">
        <v>680</v>
      </c>
      <c r="D236" s="6">
        <v>30000</v>
      </c>
      <c r="E236" s="6">
        <v>0</v>
      </c>
      <c r="F236" s="6">
        <f>D236+E236</f>
        <v>30000</v>
      </c>
      <c r="G236" s="5" t="s">
        <v>3</v>
      </c>
      <c r="H236" s="5" t="s">
        <v>3</v>
      </c>
    </row>
    <row r="237" spans="1:8" x14ac:dyDescent="0.25">
      <c r="A237" s="5" t="s">
        <v>3</v>
      </c>
      <c r="B237" s="5" t="s">
        <v>3</v>
      </c>
      <c r="C237" s="5" t="s">
        <v>678</v>
      </c>
      <c r="D237" s="6">
        <v>28671.5</v>
      </c>
      <c r="E237" s="6">
        <v>0</v>
      </c>
      <c r="F237" s="6">
        <f>D237+E237</f>
        <v>28671.5</v>
      </c>
      <c r="G237" s="5" t="s">
        <v>3</v>
      </c>
      <c r="H237" s="5" t="s">
        <v>3</v>
      </c>
    </row>
    <row r="238" spans="1:8" x14ac:dyDescent="0.25">
      <c r="A238" s="5" t="s">
        <v>3</v>
      </c>
      <c r="B238" s="5" t="s">
        <v>3</v>
      </c>
      <c r="C238" s="5" t="s">
        <v>218</v>
      </c>
      <c r="D238" s="6">
        <v>24396.84</v>
      </c>
      <c r="E238" s="6">
        <v>0</v>
      </c>
      <c r="F238" s="6">
        <f>D238+E238</f>
        <v>24396.84</v>
      </c>
      <c r="G238" s="5" t="s">
        <v>3</v>
      </c>
      <c r="H238" s="5" t="s">
        <v>3</v>
      </c>
    </row>
    <row r="239" spans="1:8" x14ac:dyDescent="0.25">
      <c r="A239" s="5" t="s">
        <v>3</v>
      </c>
      <c r="B239" s="5" t="s">
        <v>3</v>
      </c>
      <c r="C239" s="5" t="s">
        <v>835</v>
      </c>
      <c r="D239" s="6">
        <v>23900</v>
      </c>
      <c r="E239" s="6">
        <v>0</v>
      </c>
      <c r="F239" s="6">
        <f>D239+E239</f>
        <v>23900</v>
      </c>
      <c r="G239" s="5" t="s">
        <v>3</v>
      </c>
      <c r="H239" s="5" t="s">
        <v>3</v>
      </c>
    </row>
    <row r="240" spans="1:8" x14ac:dyDescent="0.25">
      <c r="A240" s="5" t="s">
        <v>3</v>
      </c>
      <c r="B240" s="5" t="s">
        <v>3</v>
      </c>
      <c r="C240" s="5" t="s">
        <v>683</v>
      </c>
      <c r="D240" s="6">
        <v>22937.2</v>
      </c>
      <c r="E240" s="6">
        <v>0</v>
      </c>
      <c r="F240" s="6">
        <f>D240+E240</f>
        <v>22937.2</v>
      </c>
      <c r="G240" s="5" t="s">
        <v>3</v>
      </c>
      <c r="H240" s="5" t="s">
        <v>3</v>
      </c>
    </row>
    <row r="241" spans="1:8" x14ac:dyDescent="0.25">
      <c r="A241" s="5" t="s">
        <v>3</v>
      </c>
      <c r="B241" s="5" t="s">
        <v>3</v>
      </c>
      <c r="C241" s="5" t="s">
        <v>1164</v>
      </c>
      <c r="D241" s="6">
        <v>21100</v>
      </c>
      <c r="E241" s="6">
        <v>0</v>
      </c>
      <c r="F241" s="6">
        <f>D241+E241</f>
        <v>21100</v>
      </c>
      <c r="G241" s="5" t="s">
        <v>3</v>
      </c>
      <c r="H241" s="5" t="s">
        <v>3</v>
      </c>
    </row>
    <row r="242" spans="1:8" x14ac:dyDescent="0.25">
      <c r="A242" s="5" t="s">
        <v>3</v>
      </c>
      <c r="B242" s="5" t="s">
        <v>3</v>
      </c>
      <c r="C242" s="5" t="s">
        <v>691</v>
      </c>
      <c r="D242" s="6">
        <v>20000</v>
      </c>
      <c r="E242" s="6">
        <v>0</v>
      </c>
      <c r="F242" s="6">
        <f>D242+E242</f>
        <v>20000</v>
      </c>
      <c r="G242" s="5" t="s">
        <v>3</v>
      </c>
      <c r="H242" s="5" t="s">
        <v>3</v>
      </c>
    </row>
    <row r="243" spans="1:8" x14ac:dyDescent="0.25">
      <c r="A243" s="5" t="s">
        <v>3</v>
      </c>
      <c r="B243" s="5" t="s">
        <v>3</v>
      </c>
      <c r="C243" s="5" t="s">
        <v>79</v>
      </c>
      <c r="D243" s="6">
        <v>17500</v>
      </c>
      <c r="E243" s="6">
        <v>0</v>
      </c>
      <c r="F243" s="6">
        <f>D243+E243</f>
        <v>17500</v>
      </c>
      <c r="G243" s="5" t="s">
        <v>3</v>
      </c>
      <c r="H243" s="5" t="s">
        <v>3</v>
      </c>
    </row>
    <row r="244" spans="1:8" x14ac:dyDescent="0.25">
      <c r="A244" s="5" t="s">
        <v>3</v>
      </c>
      <c r="B244" s="5" t="s">
        <v>3</v>
      </c>
      <c r="C244" s="5" t="s">
        <v>1094</v>
      </c>
      <c r="D244" s="6">
        <v>16000</v>
      </c>
      <c r="E244" s="6">
        <v>0</v>
      </c>
      <c r="F244" s="6">
        <f>D244+E244</f>
        <v>16000</v>
      </c>
      <c r="G244" s="5" t="s">
        <v>3</v>
      </c>
      <c r="H244" s="5" t="s">
        <v>3</v>
      </c>
    </row>
    <row r="245" spans="1:8" x14ac:dyDescent="0.25">
      <c r="A245" s="5" t="s">
        <v>3</v>
      </c>
      <c r="B245" s="5" t="s">
        <v>3</v>
      </c>
      <c r="C245" s="5" t="s">
        <v>690</v>
      </c>
      <c r="D245" s="6">
        <v>14596.4</v>
      </c>
      <c r="E245" s="6">
        <v>0</v>
      </c>
      <c r="F245" s="6">
        <f>D245+E245</f>
        <v>14596.4</v>
      </c>
      <c r="G245" s="5" t="s">
        <v>3</v>
      </c>
      <c r="H245" s="5" t="s">
        <v>3</v>
      </c>
    </row>
    <row r="246" spans="1:8" x14ac:dyDescent="0.25">
      <c r="A246" s="5" t="s">
        <v>3</v>
      </c>
      <c r="B246" s="5" t="s">
        <v>3</v>
      </c>
      <c r="C246" s="5" t="s">
        <v>1093</v>
      </c>
      <c r="D246" s="6">
        <v>14000</v>
      </c>
      <c r="E246" s="6">
        <v>0</v>
      </c>
      <c r="F246" s="6">
        <f>D246+E246</f>
        <v>14000</v>
      </c>
      <c r="G246" s="5" t="s">
        <v>3</v>
      </c>
      <c r="H246" s="5" t="s">
        <v>3</v>
      </c>
    </row>
    <row r="247" spans="1:8" x14ac:dyDescent="0.25">
      <c r="A247" s="5" t="s">
        <v>3</v>
      </c>
      <c r="B247" s="5" t="s">
        <v>3</v>
      </c>
      <c r="C247" s="5" t="s">
        <v>698</v>
      </c>
      <c r="D247" s="6">
        <v>12500</v>
      </c>
      <c r="E247" s="6">
        <v>0</v>
      </c>
      <c r="F247" s="6">
        <f>D247+E247</f>
        <v>12500</v>
      </c>
      <c r="G247" s="5" t="s">
        <v>3</v>
      </c>
      <c r="H247" s="5" t="s">
        <v>3</v>
      </c>
    </row>
    <row r="248" spans="1:8" x14ac:dyDescent="0.25">
      <c r="A248" s="5" t="s">
        <v>3</v>
      </c>
      <c r="B248" s="5" t="s">
        <v>3</v>
      </c>
      <c r="C248" s="5" t="s">
        <v>695</v>
      </c>
      <c r="D248" s="6">
        <v>11000</v>
      </c>
      <c r="E248" s="6">
        <v>0</v>
      </c>
      <c r="F248" s="6">
        <f>D248+E248</f>
        <v>11000</v>
      </c>
      <c r="G248" s="5" t="s">
        <v>3</v>
      </c>
      <c r="H248" s="5" t="s">
        <v>3</v>
      </c>
    </row>
    <row r="249" spans="1:8" x14ac:dyDescent="0.25">
      <c r="A249" s="5" t="s">
        <v>3</v>
      </c>
      <c r="B249" s="5" t="s">
        <v>3</v>
      </c>
      <c r="C249" s="5" t="s">
        <v>692</v>
      </c>
      <c r="D249" s="6">
        <v>11000</v>
      </c>
      <c r="E249" s="6">
        <v>0</v>
      </c>
      <c r="F249" s="6">
        <f>D249+E249</f>
        <v>11000</v>
      </c>
      <c r="G249" s="5" t="s">
        <v>3</v>
      </c>
      <c r="H249" s="5" t="s">
        <v>3</v>
      </c>
    </row>
    <row r="250" spans="1:8" x14ac:dyDescent="0.25">
      <c r="A250" s="5" t="s">
        <v>3</v>
      </c>
      <c r="B250" s="5" t="s">
        <v>3</v>
      </c>
      <c r="C250" s="5" t="s">
        <v>696</v>
      </c>
      <c r="D250" s="6">
        <v>10410.06</v>
      </c>
      <c r="E250" s="6">
        <v>0</v>
      </c>
      <c r="F250" s="6">
        <f>D250+E250</f>
        <v>10410.06</v>
      </c>
      <c r="G250" s="5" t="s">
        <v>3</v>
      </c>
      <c r="H250" s="5" t="s">
        <v>3</v>
      </c>
    </row>
    <row r="251" spans="1:8" x14ac:dyDescent="0.25">
      <c r="A251" s="5" t="s">
        <v>3</v>
      </c>
      <c r="B251" s="5" t="s">
        <v>3</v>
      </c>
      <c r="C251" s="5" t="s">
        <v>720</v>
      </c>
      <c r="D251" s="6">
        <v>10000</v>
      </c>
      <c r="E251" s="6">
        <v>0</v>
      </c>
      <c r="F251" s="6">
        <f>D251+E251</f>
        <v>10000</v>
      </c>
      <c r="G251" s="5" t="s">
        <v>3</v>
      </c>
      <c r="H251" s="5" t="s">
        <v>3</v>
      </c>
    </row>
    <row r="252" spans="1:8" x14ac:dyDescent="0.25">
      <c r="A252" s="5" t="s">
        <v>3</v>
      </c>
      <c r="B252" s="5" t="s">
        <v>3</v>
      </c>
      <c r="C252" s="5" t="s">
        <v>730</v>
      </c>
      <c r="D252" s="6">
        <v>9400</v>
      </c>
      <c r="E252" s="6">
        <v>0</v>
      </c>
      <c r="F252" s="6">
        <f>D252+E252</f>
        <v>9400</v>
      </c>
      <c r="G252" s="5" t="s">
        <v>3</v>
      </c>
      <c r="H252" s="5" t="s">
        <v>3</v>
      </c>
    </row>
    <row r="253" spans="1:8" x14ac:dyDescent="0.25">
      <c r="A253" s="5" t="s">
        <v>3</v>
      </c>
      <c r="B253" s="5" t="s">
        <v>3</v>
      </c>
      <c r="C253" s="5" t="s">
        <v>280</v>
      </c>
      <c r="D253" s="6">
        <v>8500</v>
      </c>
      <c r="E253" s="6">
        <v>0</v>
      </c>
      <c r="F253" s="6">
        <f>D253+E253</f>
        <v>8500</v>
      </c>
      <c r="G253" s="5" t="s">
        <v>3</v>
      </c>
      <c r="H253" s="5" t="s">
        <v>3</v>
      </c>
    </row>
    <row r="254" spans="1:8" x14ac:dyDescent="0.25">
      <c r="A254" s="5" t="s">
        <v>3</v>
      </c>
      <c r="B254" s="5" t="s">
        <v>3</v>
      </c>
      <c r="C254" s="5" t="s">
        <v>220</v>
      </c>
      <c r="D254" s="6">
        <v>8500</v>
      </c>
      <c r="E254" s="6">
        <v>0</v>
      </c>
      <c r="F254" s="6">
        <f>D254+E254</f>
        <v>8500</v>
      </c>
      <c r="G254" s="5" t="s">
        <v>3</v>
      </c>
      <c r="H254" s="5" t="s">
        <v>3</v>
      </c>
    </row>
    <row r="255" spans="1:8" x14ac:dyDescent="0.25">
      <c r="A255" s="5" t="s">
        <v>3</v>
      </c>
      <c r="B255" s="5" t="s">
        <v>3</v>
      </c>
      <c r="C255" s="5" t="s">
        <v>723</v>
      </c>
      <c r="D255" s="6">
        <v>8083.74</v>
      </c>
      <c r="E255" s="6">
        <v>0</v>
      </c>
      <c r="F255" s="6">
        <f>D255+E255</f>
        <v>8083.74</v>
      </c>
      <c r="G255" s="5" t="s">
        <v>3</v>
      </c>
      <c r="H255" s="5" t="s">
        <v>3</v>
      </c>
    </row>
    <row r="256" spans="1:8" x14ac:dyDescent="0.25">
      <c r="A256" s="5" t="s">
        <v>3</v>
      </c>
      <c r="B256" s="5" t="s">
        <v>3</v>
      </c>
      <c r="C256" s="5" t="s">
        <v>1370</v>
      </c>
      <c r="D256" s="6">
        <v>7849.9</v>
      </c>
      <c r="E256" s="6">
        <v>0</v>
      </c>
      <c r="F256" s="6">
        <f>D256+E256</f>
        <v>7849.9</v>
      </c>
      <c r="G256" s="5" t="s">
        <v>3</v>
      </c>
      <c r="H256" s="5" t="s">
        <v>3</v>
      </c>
    </row>
    <row r="257" spans="1:8" x14ac:dyDescent="0.25">
      <c r="A257" s="5" t="s">
        <v>3</v>
      </c>
      <c r="B257" s="5" t="s">
        <v>3</v>
      </c>
      <c r="C257" s="5" t="s">
        <v>140</v>
      </c>
      <c r="D257" s="6">
        <v>7618.28</v>
      </c>
      <c r="E257" s="6">
        <v>0</v>
      </c>
      <c r="F257" s="6">
        <f>D257+E257</f>
        <v>7618.28</v>
      </c>
      <c r="G257" s="5" t="s">
        <v>3</v>
      </c>
      <c r="H257" s="5" t="s">
        <v>3</v>
      </c>
    </row>
    <row r="258" spans="1:8" x14ac:dyDescent="0.25">
      <c r="A258" s="5" t="s">
        <v>3</v>
      </c>
      <c r="B258" s="5" t="s">
        <v>3</v>
      </c>
      <c r="C258" s="5" t="s">
        <v>718</v>
      </c>
      <c r="D258" s="6">
        <v>7500</v>
      </c>
      <c r="E258" s="6">
        <v>0</v>
      </c>
      <c r="F258" s="6">
        <f>D258+E258</f>
        <v>7500</v>
      </c>
      <c r="G258" s="5" t="s">
        <v>3</v>
      </c>
      <c r="H258" s="5" t="s">
        <v>3</v>
      </c>
    </row>
    <row r="259" spans="1:8" x14ac:dyDescent="0.25">
      <c r="A259" s="5" t="s">
        <v>3</v>
      </c>
      <c r="B259" s="5" t="s">
        <v>3</v>
      </c>
      <c r="C259" s="5" t="s">
        <v>158</v>
      </c>
      <c r="D259" s="6">
        <v>7425.69</v>
      </c>
      <c r="E259" s="6">
        <v>0</v>
      </c>
      <c r="F259" s="6">
        <f>D259+E259</f>
        <v>7425.69</v>
      </c>
      <c r="G259" s="5" t="s">
        <v>3</v>
      </c>
      <c r="H259" s="5" t="s">
        <v>3</v>
      </c>
    </row>
    <row r="260" spans="1:8" x14ac:dyDescent="0.25">
      <c r="A260" s="5" t="s">
        <v>3</v>
      </c>
      <c r="B260" s="5" t="s">
        <v>3</v>
      </c>
      <c r="C260" s="5" t="s">
        <v>725</v>
      </c>
      <c r="D260" s="6">
        <v>7298.2</v>
      </c>
      <c r="E260" s="6">
        <v>0</v>
      </c>
      <c r="F260" s="6">
        <f>D260+E260</f>
        <v>7298.2</v>
      </c>
      <c r="G260" s="5" t="s">
        <v>3</v>
      </c>
      <c r="H260" s="5" t="s">
        <v>3</v>
      </c>
    </row>
    <row r="261" spans="1:8" x14ac:dyDescent="0.25">
      <c r="A261" s="5" t="s">
        <v>3</v>
      </c>
      <c r="B261" s="5" t="s">
        <v>3</v>
      </c>
      <c r="C261" s="5" t="s">
        <v>702</v>
      </c>
      <c r="D261" s="6">
        <v>7298.2</v>
      </c>
      <c r="E261" s="6">
        <v>0</v>
      </c>
      <c r="F261" s="6">
        <f>D261+E261</f>
        <v>7298.2</v>
      </c>
      <c r="G261" s="5" t="s">
        <v>3</v>
      </c>
      <c r="H261" s="5" t="s">
        <v>3</v>
      </c>
    </row>
    <row r="262" spans="1:8" x14ac:dyDescent="0.25">
      <c r="A262" s="5" t="s">
        <v>3</v>
      </c>
      <c r="B262" s="5" t="s">
        <v>3</v>
      </c>
      <c r="C262" s="5" t="s">
        <v>733</v>
      </c>
      <c r="D262" s="6">
        <v>7022.45</v>
      </c>
      <c r="E262" s="6">
        <v>0</v>
      </c>
      <c r="F262" s="6">
        <f>D262+E262</f>
        <v>7022.45</v>
      </c>
      <c r="G262" s="5" t="s">
        <v>3</v>
      </c>
      <c r="H262" s="5" t="s">
        <v>3</v>
      </c>
    </row>
    <row r="263" spans="1:8" x14ac:dyDescent="0.25">
      <c r="A263" s="5" t="s">
        <v>3</v>
      </c>
      <c r="B263" s="5" t="s">
        <v>3</v>
      </c>
      <c r="C263" s="5" t="s">
        <v>1371</v>
      </c>
      <c r="D263" s="6">
        <v>7000</v>
      </c>
      <c r="E263" s="6">
        <v>0</v>
      </c>
      <c r="F263" s="6">
        <f>D263+E263</f>
        <v>7000</v>
      </c>
      <c r="G263" s="5" t="s">
        <v>3</v>
      </c>
      <c r="H263" s="5" t="s">
        <v>3</v>
      </c>
    </row>
    <row r="264" spans="1:8" x14ac:dyDescent="0.25">
      <c r="A264" s="5" t="s">
        <v>3</v>
      </c>
      <c r="B264" s="5" t="s">
        <v>3</v>
      </c>
      <c r="C264" s="5" t="s">
        <v>727</v>
      </c>
      <c r="D264" s="6">
        <v>6906.4</v>
      </c>
      <c r="E264" s="6">
        <v>0</v>
      </c>
      <c r="F264" s="6">
        <f>D264+E264</f>
        <v>6906.4</v>
      </c>
      <c r="G264" s="5" t="s">
        <v>3</v>
      </c>
      <c r="H264" s="5" t="s">
        <v>3</v>
      </c>
    </row>
    <row r="265" spans="1:8" x14ac:dyDescent="0.25">
      <c r="A265" s="5" t="s">
        <v>3</v>
      </c>
      <c r="B265" s="5" t="s">
        <v>3</v>
      </c>
      <c r="C265" s="5" t="s">
        <v>716</v>
      </c>
      <c r="D265" s="6">
        <v>6835</v>
      </c>
      <c r="E265" s="6">
        <v>0</v>
      </c>
      <c r="F265" s="6">
        <f>D265+E265</f>
        <v>6835</v>
      </c>
      <c r="G265" s="5" t="s">
        <v>3</v>
      </c>
      <c r="H265" s="5" t="s">
        <v>3</v>
      </c>
    </row>
    <row r="266" spans="1:8" x14ac:dyDescent="0.25">
      <c r="A266" s="5" t="s">
        <v>3</v>
      </c>
      <c r="B266" s="5" t="s">
        <v>3</v>
      </c>
      <c r="C266" s="5" t="s">
        <v>227</v>
      </c>
      <c r="D266" s="6">
        <v>6500</v>
      </c>
      <c r="E266" s="6">
        <v>0</v>
      </c>
      <c r="F266" s="6">
        <f>D266+E266</f>
        <v>6500</v>
      </c>
      <c r="G266" s="5" t="s">
        <v>3</v>
      </c>
      <c r="H266" s="5" t="s">
        <v>3</v>
      </c>
    </row>
    <row r="267" spans="1:8" x14ac:dyDescent="0.25">
      <c r="A267" s="5" t="s">
        <v>3</v>
      </c>
      <c r="B267" s="5" t="s">
        <v>3</v>
      </c>
      <c r="C267" s="5" t="s">
        <v>712</v>
      </c>
      <c r="D267" s="6">
        <v>6500</v>
      </c>
      <c r="E267" s="6">
        <v>0</v>
      </c>
      <c r="F267" s="6">
        <f>D267+E267</f>
        <v>6500</v>
      </c>
      <c r="G267" s="5" t="s">
        <v>3</v>
      </c>
      <c r="H267" s="5" t="s">
        <v>3</v>
      </c>
    </row>
    <row r="268" spans="1:8" x14ac:dyDescent="0.25">
      <c r="A268" s="5" t="s">
        <v>3</v>
      </c>
      <c r="B268" s="5" t="s">
        <v>3</v>
      </c>
      <c r="C268" s="5" t="s">
        <v>225</v>
      </c>
      <c r="D268" s="6">
        <v>6185.22</v>
      </c>
      <c r="E268" s="6">
        <v>0</v>
      </c>
      <c r="F268" s="6">
        <f>D268+E268</f>
        <v>6185.22</v>
      </c>
      <c r="G268" s="5" t="s">
        <v>3</v>
      </c>
      <c r="H268" s="5" t="s">
        <v>3</v>
      </c>
    </row>
    <row r="269" spans="1:8" x14ac:dyDescent="0.25">
      <c r="A269" s="5" t="s">
        <v>3</v>
      </c>
      <c r="B269" s="5" t="s">
        <v>3</v>
      </c>
      <c r="C269" s="5" t="s">
        <v>838</v>
      </c>
      <c r="D269" s="6">
        <v>6000</v>
      </c>
      <c r="E269" s="6">
        <v>0</v>
      </c>
      <c r="F269" s="6">
        <f>D269+E269</f>
        <v>6000</v>
      </c>
      <c r="G269" s="5" t="s">
        <v>3</v>
      </c>
      <c r="H269" s="5" t="s">
        <v>3</v>
      </c>
    </row>
    <row r="270" spans="1:8" x14ac:dyDescent="0.25">
      <c r="A270" s="5" t="s">
        <v>3</v>
      </c>
      <c r="B270" s="5" t="s">
        <v>3</v>
      </c>
      <c r="C270" s="5" t="s">
        <v>229</v>
      </c>
      <c r="D270" s="6">
        <v>5800</v>
      </c>
      <c r="E270" s="6">
        <v>0</v>
      </c>
      <c r="F270" s="6">
        <f>D270+E270</f>
        <v>5800</v>
      </c>
      <c r="G270" s="5" t="s">
        <v>3</v>
      </c>
      <c r="H270" s="5" t="s">
        <v>3</v>
      </c>
    </row>
    <row r="271" spans="1:8" x14ac:dyDescent="0.25">
      <c r="A271" s="5" t="s">
        <v>3</v>
      </c>
      <c r="B271" s="5" t="s">
        <v>3</v>
      </c>
      <c r="C271" s="5" t="s">
        <v>714</v>
      </c>
      <c r="D271" s="6">
        <v>5700</v>
      </c>
      <c r="E271" s="6">
        <v>0</v>
      </c>
      <c r="F271" s="6">
        <f>D271+E271</f>
        <v>5700</v>
      </c>
      <c r="G271" s="5" t="s">
        <v>3</v>
      </c>
      <c r="H271" s="5" t="s">
        <v>3</v>
      </c>
    </row>
    <row r="272" spans="1:8" x14ac:dyDescent="0.25">
      <c r="A272" s="5" t="s">
        <v>3</v>
      </c>
      <c r="B272" s="5" t="s">
        <v>3</v>
      </c>
      <c r="C272" s="5" t="s">
        <v>686</v>
      </c>
      <c r="D272" s="6">
        <v>5000</v>
      </c>
      <c r="E272" s="6">
        <v>0</v>
      </c>
      <c r="F272" s="6">
        <f>D272+E272</f>
        <v>5000</v>
      </c>
      <c r="G272" s="5" t="s">
        <v>3</v>
      </c>
      <c r="H272" s="5" t="s">
        <v>3</v>
      </c>
    </row>
    <row r="273" spans="1:8" x14ac:dyDescent="0.25">
      <c r="A273" s="5" t="s">
        <v>3</v>
      </c>
      <c r="B273" s="5" t="s">
        <v>3</v>
      </c>
      <c r="C273" s="5" t="s">
        <v>732</v>
      </c>
      <c r="D273" s="6">
        <v>4000</v>
      </c>
      <c r="E273" s="6">
        <v>0</v>
      </c>
      <c r="F273" s="6">
        <f>D273+E273</f>
        <v>4000</v>
      </c>
      <c r="G273" s="5" t="s">
        <v>3</v>
      </c>
      <c r="H273" s="5" t="s">
        <v>3</v>
      </c>
    </row>
    <row r="274" spans="1:8" x14ac:dyDescent="0.25">
      <c r="A274" s="5" t="s">
        <v>3</v>
      </c>
      <c r="B274" s="5" t="s">
        <v>3</v>
      </c>
      <c r="C274" s="5" t="s">
        <v>1372</v>
      </c>
      <c r="D274" s="6">
        <v>3964.14</v>
      </c>
      <c r="E274" s="6">
        <v>0</v>
      </c>
      <c r="F274" s="6">
        <f>D274+E274</f>
        <v>3964.14</v>
      </c>
      <c r="G274" s="5" t="s">
        <v>3</v>
      </c>
      <c r="H274" s="5" t="s">
        <v>3</v>
      </c>
    </row>
    <row r="275" spans="1:8" x14ac:dyDescent="0.25">
      <c r="A275" s="5" t="s">
        <v>3</v>
      </c>
      <c r="B275" s="5" t="s">
        <v>3</v>
      </c>
      <c r="C275" s="5" t="s">
        <v>1092</v>
      </c>
      <c r="D275" s="6">
        <v>3774.19</v>
      </c>
      <c r="E275" s="6">
        <v>0</v>
      </c>
      <c r="F275" s="6">
        <f>D275+E275</f>
        <v>3774.19</v>
      </c>
      <c r="G275" s="5" t="s">
        <v>3</v>
      </c>
      <c r="H275" s="5" t="s">
        <v>3</v>
      </c>
    </row>
    <row r="276" spans="1:8" x14ac:dyDescent="0.25">
      <c r="A276" s="5" t="s">
        <v>3</v>
      </c>
      <c r="B276" s="5" t="s">
        <v>3</v>
      </c>
      <c r="C276" s="5" t="s">
        <v>729</v>
      </c>
      <c r="D276" s="6">
        <v>3127.8</v>
      </c>
      <c r="E276" s="6">
        <v>0</v>
      </c>
      <c r="F276" s="6">
        <f>D276+E276</f>
        <v>3127.8</v>
      </c>
      <c r="G276" s="5" t="s">
        <v>3</v>
      </c>
      <c r="H276" s="5" t="s">
        <v>3</v>
      </c>
    </row>
    <row r="277" spans="1:8" x14ac:dyDescent="0.25">
      <c r="A277" s="5" t="s">
        <v>3</v>
      </c>
      <c r="B277" s="5" t="s">
        <v>3</v>
      </c>
      <c r="C277" s="5" t="s">
        <v>1373</v>
      </c>
      <c r="D277" s="6">
        <v>3096.22</v>
      </c>
      <c r="E277" s="6">
        <v>0</v>
      </c>
      <c r="F277" s="6">
        <f>D277+E277</f>
        <v>3096.22</v>
      </c>
      <c r="G277" s="5" t="s">
        <v>3</v>
      </c>
      <c r="H277" s="5" t="s">
        <v>3</v>
      </c>
    </row>
    <row r="278" spans="1:8" x14ac:dyDescent="0.25">
      <c r="A278" s="5" t="s">
        <v>3</v>
      </c>
      <c r="B278" s="5" t="s">
        <v>3</v>
      </c>
      <c r="C278" s="5" t="s">
        <v>1374</v>
      </c>
      <c r="D278" s="6">
        <v>3066.67</v>
      </c>
      <c r="E278" s="6">
        <v>0</v>
      </c>
      <c r="F278" s="6">
        <f>D278+E278</f>
        <v>3066.67</v>
      </c>
      <c r="G278" s="5" t="s">
        <v>3</v>
      </c>
      <c r="H278" s="5" t="s">
        <v>3</v>
      </c>
    </row>
    <row r="279" spans="1:8" x14ac:dyDescent="0.25">
      <c r="A279" s="5" t="s">
        <v>3</v>
      </c>
      <c r="B279" s="5" t="s">
        <v>3</v>
      </c>
      <c r="C279" s="5" t="s">
        <v>737</v>
      </c>
      <c r="D279" s="6">
        <v>1900</v>
      </c>
      <c r="E279" s="6">
        <v>0</v>
      </c>
      <c r="F279" s="6">
        <f>D279+E279</f>
        <v>1900</v>
      </c>
      <c r="G279" s="5" t="s">
        <v>3</v>
      </c>
      <c r="H279" s="5" t="s">
        <v>3</v>
      </c>
    </row>
    <row r="280" spans="1:8" x14ac:dyDescent="0.25">
      <c r="A280" s="5" t="s">
        <v>3</v>
      </c>
      <c r="B280" s="5" t="s">
        <v>3</v>
      </c>
      <c r="C280" s="5" t="s">
        <v>741</v>
      </c>
      <c r="D280" s="6">
        <v>482.39</v>
      </c>
      <c r="E280" s="6">
        <v>0</v>
      </c>
      <c r="F280" s="6">
        <f>D280+E280</f>
        <v>482.39</v>
      </c>
      <c r="G280" s="5" t="s">
        <v>3</v>
      </c>
      <c r="H280" s="5" t="s">
        <v>3</v>
      </c>
    </row>
    <row r="281" spans="1:8" x14ac:dyDescent="0.25">
      <c r="A281" s="5" t="s">
        <v>3</v>
      </c>
      <c r="B281" s="5" t="s">
        <v>3</v>
      </c>
      <c r="C281" s="5" t="s">
        <v>860</v>
      </c>
      <c r="D281" s="6">
        <v>379.24</v>
      </c>
      <c r="E281" s="6">
        <v>0</v>
      </c>
      <c r="F281" s="6">
        <f>D281+E281</f>
        <v>379.24</v>
      </c>
      <c r="G281" s="5" t="s">
        <v>3</v>
      </c>
      <c r="H281" s="5" t="s">
        <v>3</v>
      </c>
    </row>
    <row r="282" spans="1:8" x14ac:dyDescent="0.25">
      <c r="A282" s="5" t="s">
        <v>3</v>
      </c>
      <c r="B282" s="5" t="s">
        <v>3</v>
      </c>
      <c r="C282" s="5" t="s">
        <v>742</v>
      </c>
      <c r="D282" s="6">
        <v>171.13</v>
      </c>
      <c r="E282" s="6">
        <v>0</v>
      </c>
      <c r="F282" s="6">
        <f>D282+E282</f>
        <v>171.13</v>
      </c>
      <c r="G282" s="5" t="s">
        <v>3</v>
      </c>
      <c r="H282" s="5" t="s">
        <v>3</v>
      </c>
    </row>
    <row r="283" spans="1:8" x14ac:dyDescent="0.25">
      <c r="A283" s="5" t="s">
        <v>3</v>
      </c>
      <c r="B283" s="5" t="s">
        <v>3</v>
      </c>
      <c r="C283" s="5" t="s">
        <v>744</v>
      </c>
      <c r="D283" s="6">
        <v>35.9</v>
      </c>
      <c r="E283" s="6">
        <v>0</v>
      </c>
      <c r="F283" s="6">
        <f>D283+E283</f>
        <v>35.9</v>
      </c>
      <c r="G283" s="5" t="s">
        <v>3</v>
      </c>
      <c r="H283" s="5" t="s">
        <v>3</v>
      </c>
    </row>
    <row r="284" spans="1:8" x14ac:dyDescent="0.25">
      <c r="A284" s="5" t="s">
        <v>3</v>
      </c>
      <c r="B284" s="5" t="s">
        <v>3</v>
      </c>
      <c r="C284" s="5" t="s">
        <v>298</v>
      </c>
      <c r="D284" s="6">
        <v>27.69</v>
      </c>
      <c r="E284" s="6">
        <v>0</v>
      </c>
      <c r="F284" s="6">
        <f>D284+E284</f>
        <v>27.69</v>
      </c>
      <c r="G284" s="5" t="s">
        <v>3</v>
      </c>
      <c r="H284" s="5" t="s">
        <v>3</v>
      </c>
    </row>
    <row r="285" spans="1:8" x14ac:dyDescent="0.25">
      <c r="A285" s="24" t="s">
        <v>460</v>
      </c>
      <c r="B285" s="24" t="s">
        <v>461</v>
      </c>
      <c r="C285" s="24" t="s">
        <v>499</v>
      </c>
      <c r="D285" s="27">
        <f>SUM(D286:D286)</f>
        <v>120</v>
      </c>
      <c r="E285" s="27">
        <f>SUM(E286:E286)</f>
        <v>0</v>
      </c>
      <c r="F285" s="27">
        <f>SUM(F286:F286)</f>
        <v>120</v>
      </c>
      <c r="G285" s="24" t="s">
        <v>3</v>
      </c>
      <c r="H285" s="24" t="s">
        <v>3</v>
      </c>
    </row>
    <row r="286" spans="1:8" x14ac:dyDescent="0.25">
      <c r="A286" s="5" t="s">
        <v>3</v>
      </c>
      <c r="B286" s="5" t="s">
        <v>3</v>
      </c>
      <c r="C286" s="5" t="s">
        <v>1225</v>
      </c>
      <c r="D286" s="6">
        <v>120</v>
      </c>
      <c r="E286" s="6">
        <v>0</v>
      </c>
      <c r="F286" s="6">
        <f>D286+E286</f>
        <v>120</v>
      </c>
      <c r="G286" s="5" t="s">
        <v>3</v>
      </c>
      <c r="H286" s="5" t="s">
        <v>3</v>
      </c>
    </row>
    <row r="287" spans="1:8" x14ac:dyDescent="0.25">
      <c r="A287" s="24" t="s">
        <v>462</v>
      </c>
      <c r="B287" s="24" t="s">
        <v>463</v>
      </c>
      <c r="C287" s="24" t="s">
        <v>499</v>
      </c>
      <c r="D287" s="27">
        <f>SUM(D288:D288)</f>
        <v>3600</v>
      </c>
      <c r="E287" s="27">
        <f>SUM(E288:E288)</f>
        <v>0</v>
      </c>
      <c r="F287" s="27">
        <f>SUM(F288:F288)</f>
        <v>3600</v>
      </c>
      <c r="G287" s="24" t="s">
        <v>3</v>
      </c>
      <c r="H287" s="24" t="s">
        <v>3</v>
      </c>
    </row>
    <row r="288" spans="1:8" x14ac:dyDescent="0.25">
      <c r="A288" s="5" t="s">
        <v>3</v>
      </c>
      <c r="B288" s="5" t="s">
        <v>3</v>
      </c>
      <c r="C288" s="5" t="s">
        <v>747</v>
      </c>
      <c r="D288" s="6">
        <v>3600</v>
      </c>
      <c r="E288" s="6">
        <v>0</v>
      </c>
      <c r="F288" s="6">
        <f>D288+E288</f>
        <v>3600</v>
      </c>
      <c r="G288" s="5" t="s">
        <v>3</v>
      </c>
      <c r="H288" s="5" t="s">
        <v>3</v>
      </c>
    </row>
    <row r="289" spans="1:8" x14ac:dyDescent="0.25">
      <c r="A289" s="24" t="s">
        <v>464</v>
      </c>
      <c r="B289" s="24" t="s">
        <v>465</v>
      </c>
      <c r="C289" s="24" t="s">
        <v>499</v>
      </c>
      <c r="D289" s="27">
        <f>SUM(D290:D293)</f>
        <v>24241.2</v>
      </c>
      <c r="E289" s="27">
        <f>SUM(E290:E293)</f>
        <v>0</v>
      </c>
      <c r="F289" s="27">
        <f>SUM(F290:F293)</f>
        <v>24241.2</v>
      </c>
      <c r="G289" s="24" t="s">
        <v>3</v>
      </c>
      <c r="H289" s="24" t="s">
        <v>3</v>
      </c>
    </row>
    <row r="290" spans="1:8" x14ac:dyDescent="0.25">
      <c r="A290" s="5" t="s">
        <v>3</v>
      </c>
      <c r="B290" s="5" t="s">
        <v>3</v>
      </c>
      <c r="C290" s="5" t="s">
        <v>1375</v>
      </c>
      <c r="D290" s="6">
        <v>22510.02</v>
      </c>
      <c r="E290" s="6">
        <v>0</v>
      </c>
      <c r="F290" s="6">
        <f>D290+E290</f>
        <v>22510.02</v>
      </c>
      <c r="G290" s="5" t="s">
        <v>3</v>
      </c>
      <c r="H290" s="5" t="s">
        <v>3</v>
      </c>
    </row>
    <row r="291" spans="1:8" x14ac:dyDescent="0.25">
      <c r="A291" s="5" t="s">
        <v>3</v>
      </c>
      <c r="B291" s="5" t="s">
        <v>3</v>
      </c>
      <c r="C291" s="5" t="s">
        <v>1376</v>
      </c>
      <c r="D291" s="6">
        <v>731.18</v>
      </c>
      <c r="E291" s="6">
        <v>0</v>
      </c>
      <c r="F291" s="6">
        <f>D291+E291</f>
        <v>731.18</v>
      </c>
      <c r="G291" s="5" t="s">
        <v>3</v>
      </c>
      <c r="H291" s="5" t="s">
        <v>3</v>
      </c>
    </row>
    <row r="292" spans="1:8" x14ac:dyDescent="0.25">
      <c r="A292" s="5" t="s">
        <v>3</v>
      </c>
      <c r="B292" s="5" t="s">
        <v>3</v>
      </c>
      <c r="C292" s="5" t="s">
        <v>1377</v>
      </c>
      <c r="D292" s="6">
        <v>500</v>
      </c>
      <c r="E292" s="6">
        <v>0</v>
      </c>
      <c r="F292" s="6">
        <f>D292+E292</f>
        <v>500</v>
      </c>
      <c r="G292" s="5" t="s">
        <v>3</v>
      </c>
      <c r="H292" s="5" t="s">
        <v>3</v>
      </c>
    </row>
    <row r="293" spans="1:8" x14ac:dyDescent="0.25">
      <c r="A293" s="5" t="s">
        <v>3</v>
      </c>
      <c r="B293" s="5" t="s">
        <v>3</v>
      </c>
      <c r="C293" s="5" t="s">
        <v>1378</v>
      </c>
      <c r="D293" s="6">
        <v>500</v>
      </c>
      <c r="E293" s="6">
        <v>0</v>
      </c>
      <c r="F293" s="6">
        <f>D293+E293</f>
        <v>500</v>
      </c>
      <c r="G293" s="5" t="s">
        <v>3</v>
      </c>
      <c r="H293" s="5" t="s">
        <v>3</v>
      </c>
    </row>
    <row r="294" spans="1:8" x14ac:dyDescent="0.25">
      <c r="A294" s="24" t="s">
        <v>468</v>
      </c>
      <c r="B294" s="24" t="s">
        <v>469</v>
      </c>
      <c r="C294" s="24" t="s">
        <v>499</v>
      </c>
      <c r="D294" s="27">
        <f>SUM(D295:D295)</f>
        <v>0</v>
      </c>
      <c r="E294" s="27">
        <f>SUM(E295:E295)</f>
        <v>40686.62</v>
      </c>
      <c r="F294" s="27">
        <f>SUM(F295:F295)</f>
        <v>40686.62</v>
      </c>
      <c r="G294" s="24" t="s">
        <v>3</v>
      </c>
      <c r="H294" s="24" t="s">
        <v>3</v>
      </c>
    </row>
    <row r="295" spans="1:8" x14ac:dyDescent="0.25">
      <c r="A295" s="5" t="s">
        <v>3</v>
      </c>
      <c r="B295" s="5" t="s">
        <v>3</v>
      </c>
      <c r="C295" s="5" t="s">
        <v>298</v>
      </c>
      <c r="D295" s="6">
        <v>0</v>
      </c>
      <c r="E295" s="29">
        <v>40686.62</v>
      </c>
      <c r="F295" s="6">
        <f>D295+E295</f>
        <v>40686.62</v>
      </c>
      <c r="G295" s="23" t="s">
        <v>1379</v>
      </c>
      <c r="H295" s="5" t="s">
        <v>3</v>
      </c>
    </row>
    <row r="296" spans="1:8" x14ac:dyDescent="0.25">
      <c r="A296" s="24" t="s">
        <v>470</v>
      </c>
      <c r="B296" s="24" t="s">
        <v>471</v>
      </c>
      <c r="C296" s="24" t="s">
        <v>499</v>
      </c>
      <c r="D296" s="27">
        <f>SUM(D297:D297)</f>
        <v>1874</v>
      </c>
      <c r="E296" s="27">
        <f>SUM(E297:E297)</f>
        <v>0</v>
      </c>
      <c r="F296" s="27">
        <f>SUM(F297:F297)</f>
        <v>1874</v>
      </c>
      <c r="G296" s="24" t="s">
        <v>3</v>
      </c>
      <c r="H296" s="24" t="s">
        <v>3</v>
      </c>
    </row>
    <row r="297" spans="1:8" x14ac:dyDescent="0.25">
      <c r="A297" s="5" t="s">
        <v>3</v>
      </c>
      <c r="B297" s="5" t="s">
        <v>3</v>
      </c>
      <c r="C297" s="5" t="s">
        <v>1380</v>
      </c>
      <c r="D297" s="6">
        <v>1874</v>
      </c>
      <c r="E297" s="6">
        <v>0</v>
      </c>
      <c r="F297" s="6">
        <f>D297+E297</f>
        <v>1874</v>
      </c>
      <c r="G297" s="5" t="s">
        <v>3</v>
      </c>
      <c r="H297" s="5" t="s">
        <v>3</v>
      </c>
    </row>
    <row r="298" spans="1:8" x14ac:dyDescent="0.25">
      <c r="A298" s="24" t="s">
        <v>472</v>
      </c>
      <c r="B298" s="24" t="s">
        <v>473</v>
      </c>
      <c r="C298" s="24" t="s">
        <v>499</v>
      </c>
      <c r="D298" s="27">
        <f>SUM(D299:D306)</f>
        <v>6786.18</v>
      </c>
      <c r="E298" s="27">
        <f>SUM(E299:E306)</f>
        <v>0</v>
      </c>
      <c r="F298" s="27">
        <f>SUM(F299:F306)</f>
        <v>6786.18</v>
      </c>
      <c r="G298" s="24" t="s">
        <v>3</v>
      </c>
      <c r="H298" s="24" t="s">
        <v>3</v>
      </c>
    </row>
    <row r="299" spans="1:8" x14ac:dyDescent="0.25">
      <c r="A299" s="5" t="s">
        <v>3</v>
      </c>
      <c r="B299" s="5" t="s">
        <v>3</v>
      </c>
      <c r="C299" s="5" t="s">
        <v>1381</v>
      </c>
      <c r="D299" s="6">
        <v>4942.38</v>
      </c>
      <c r="E299" s="6">
        <v>0</v>
      </c>
      <c r="F299" s="6">
        <f>D299+E299</f>
        <v>4942.38</v>
      </c>
      <c r="G299" s="5" t="s">
        <v>3</v>
      </c>
      <c r="H299" s="5" t="s">
        <v>3</v>
      </c>
    </row>
    <row r="300" spans="1:8" x14ac:dyDescent="0.25">
      <c r="A300" s="5" t="s">
        <v>3</v>
      </c>
      <c r="B300" s="5" t="s">
        <v>3</v>
      </c>
      <c r="C300" s="5" t="s">
        <v>135</v>
      </c>
      <c r="D300" s="6">
        <v>555</v>
      </c>
      <c r="E300" s="6">
        <v>0</v>
      </c>
      <c r="F300" s="6">
        <f>D300+E300</f>
        <v>555</v>
      </c>
      <c r="G300" s="5" t="s">
        <v>3</v>
      </c>
      <c r="H300" s="5" t="s">
        <v>3</v>
      </c>
    </row>
    <row r="301" spans="1:8" x14ac:dyDescent="0.25">
      <c r="A301" s="5" t="s">
        <v>3</v>
      </c>
      <c r="B301" s="5" t="s">
        <v>3</v>
      </c>
      <c r="C301" s="5" t="s">
        <v>1382</v>
      </c>
      <c r="D301" s="6">
        <v>449.9</v>
      </c>
      <c r="E301" s="6">
        <v>0</v>
      </c>
      <c r="F301" s="6">
        <f>D301+E301</f>
        <v>449.9</v>
      </c>
      <c r="G301" s="5" t="s">
        <v>3</v>
      </c>
      <c r="H301" s="5" t="s">
        <v>3</v>
      </c>
    </row>
    <row r="302" spans="1:8" x14ac:dyDescent="0.25">
      <c r="A302" s="5" t="s">
        <v>3</v>
      </c>
      <c r="B302" s="5" t="s">
        <v>3</v>
      </c>
      <c r="C302" s="5" t="s">
        <v>1383</v>
      </c>
      <c r="D302" s="6">
        <v>449.9</v>
      </c>
      <c r="E302" s="6">
        <v>0</v>
      </c>
      <c r="F302" s="6">
        <f>D302+E302</f>
        <v>449.9</v>
      </c>
      <c r="G302" s="5" t="s">
        <v>3</v>
      </c>
      <c r="H302" s="5" t="s">
        <v>3</v>
      </c>
    </row>
    <row r="303" spans="1:8" x14ac:dyDescent="0.25">
      <c r="A303" s="5" t="s">
        <v>3</v>
      </c>
      <c r="B303" s="5" t="s">
        <v>3</v>
      </c>
      <c r="C303" s="5" t="s">
        <v>1245</v>
      </c>
      <c r="D303" s="6">
        <v>296</v>
      </c>
      <c r="E303" s="6">
        <v>0</v>
      </c>
      <c r="F303" s="6">
        <f>D303+E303</f>
        <v>296</v>
      </c>
      <c r="G303" s="5" t="s">
        <v>3</v>
      </c>
      <c r="H303" s="5" t="s">
        <v>3</v>
      </c>
    </row>
    <row r="304" spans="1:8" x14ac:dyDescent="0.25">
      <c r="A304" s="5" t="s">
        <v>3</v>
      </c>
      <c r="B304" s="5" t="s">
        <v>3</v>
      </c>
      <c r="C304" s="5" t="s">
        <v>1384</v>
      </c>
      <c r="D304" s="6">
        <v>52</v>
      </c>
      <c r="E304" s="6">
        <v>0</v>
      </c>
      <c r="F304" s="6">
        <f>D304+E304</f>
        <v>52</v>
      </c>
      <c r="G304" s="5" t="s">
        <v>3</v>
      </c>
      <c r="H304" s="5" t="s">
        <v>3</v>
      </c>
    </row>
    <row r="305" spans="1:8" x14ac:dyDescent="0.25">
      <c r="A305" s="5" t="s">
        <v>3</v>
      </c>
      <c r="B305" s="5" t="s">
        <v>3</v>
      </c>
      <c r="C305" s="5" t="s">
        <v>1385</v>
      </c>
      <c r="D305" s="6">
        <v>35</v>
      </c>
      <c r="E305" s="6">
        <v>0</v>
      </c>
      <c r="F305" s="6">
        <f>D305+E305</f>
        <v>35</v>
      </c>
      <c r="G305" s="5" t="s">
        <v>3</v>
      </c>
      <c r="H305" s="5" t="s">
        <v>3</v>
      </c>
    </row>
    <row r="306" spans="1:8" x14ac:dyDescent="0.25">
      <c r="A306" s="5" t="s">
        <v>3</v>
      </c>
      <c r="B306" s="5" t="s">
        <v>3</v>
      </c>
      <c r="C306" s="5" t="s">
        <v>1386</v>
      </c>
      <c r="D306" s="6">
        <v>6</v>
      </c>
      <c r="E306" s="6">
        <v>0</v>
      </c>
      <c r="F306" s="6">
        <f>D306+E306</f>
        <v>6</v>
      </c>
      <c r="G306" s="5" t="s">
        <v>3</v>
      </c>
      <c r="H306" s="5" t="s">
        <v>3</v>
      </c>
    </row>
    <row r="307" spans="1:8" x14ac:dyDescent="0.25">
      <c r="A307" s="24" t="s">
        <v>474</v>
      </c>
      <c r="B307" s="24" t="s">
        <v>475</v>
      </c>
      <c r="C307" s="24" t="s">
        <v>499</v>
      </c>
      <c r="D307" s="27">
        <f>SUM(D308:D313)</f>
        <v>1109.01</v>
      </c>
      <c r="E307" s="27">
        <f>SUM(E308:E313)</f>
        <v>0</v>
      </c>
      <c r="F307" s="27">
        <f>SUM(F308:F313)</f>
        <v>1109.01</v>
      </c>
      <c r="G307" s="24" t="s">
        <v>3</v>
      </c>
      <c r="H307" s="24" t="s">
        <v>3</v>
      </c>
    </row>
    <row r="308" spans="1:8" x14ac:dyDescent="0.25">
      <c r="A308" s="5" t="s">
        <v>3</v>
      </c>
      <c r="B308" s="5" t="s">
        <v>3</v>
      </c>
      <c r="C308" s="5" t="s">
        <v>1387</v>
      </c>
      <c r="D308" s="6">
        <v>351</v>
      </c>
      <c r="E308" s="6">
        <v>0</v>
      </c>
      <c r="F308" s="6">
        <f>D308+E308</f>
        <v>351</v>
      </c>
      <c r="G308" s="5" t="s">
        <v>3</v>
      </c>
      <c r="H308" s="5" t="s">
        <v>3</v>
      </c>
    </row>
    <row r="309" spans="1:8" x14ac:dyDescent="0.25">
      <c r="A309" s="5" t="s">
        <v>3</v>
      </c>
      <c r="B309" s="5" t="s">
        <v>3</v>
      </c>
      <c r="C309" s="5" t="s">
        <v>42</v>
      </c>
      <c r="D309" s="6">
        <v>300</v>
      </c>
      <c r="E309" s="6">
        <v>0</v>
      </c>
      <c r="F309" s="6">
        <f>D309+E309</f>
        <v>300</v>
      </c>
      <c r="G309" s="5" t="s">
        <v>3</v>
      </c>
      <c r="H309" s="5" t="s">
        <v>3</v>
      </c>
    </row>
    <row r="310" spans="1:8" x14ac:dyDescent="0.25">
      <c r="A310" s="5" t="s">
        <v>3</v>
      </c>
      <c r="B310" s="5" t="s">
        <v>3</v>
      </c>
      <c r="C310" s="5" t="s">
        <v>1388</v>
      </c>
      <c r="D310" s="6">
        <v>264</v>
      </c>
      <c r="E310" s="6">
        <v>0</v>
      </c>
      <c r="F310" s="6">
        <f>D310+E310</f>
        <v>264</v>
      </c>
      <c r="G310" s="5" t="s">
        <v>3</v>
      </c>
      <c r="H310" s="5" t="s">
        <v>3</v>
      </c>
    </row>
    <row r="311" spans="1:8" x14ac:dyDescent="0.25">
      <c r="A311" s="5" t="s">
        <v>3</v>
      </c>
      <c r="B311" s="5" t="s">
        <v>3</v>
      </c>
      <c r="C311" s="5" t="s">
        <v>1389</v>
      </c>
      <c r="D311" s="6">
        <v>130.6</v>
      </c>
      <c r="E311" s="6">
        <v>0</v>
      </c>
      <c r="F311" s="6">
        <f>D311+E311</f>
        <v>130.6</v>
      </c>
      <c r="G311" s="5" t="s">
        <v>3</v>
      </c>
      <c r="H311" s="5" t="s">
        <v>3</v>
      </c>
    </row>
    <row r="312" spans="1:8" x14ac:dyDescent="0.25">
      <c r="A312" s="5" t="s">
        <v>3</v>
      </c>
      <c r="B312" s="5" t="s">
        <v>3</v>
      </c>
      <c r="C312" s="5" t="s">
        <v>1390</v>
      </c>
      <c r="D312" s="6">
        <v>43.52</v>
      </c>
      <c r="E312" s="6">
        <v>0</v>
      </c>
      <c r="F312" s="6">
        <f>D312+E312</f>
        <v>43.52</v>
      </c>
      <c r="G312" s="5" t="s">
        <v>3</v>
      </c>
      <c r="H312" s="5" t="s">
        <v>3</v>
      </c>
    </row>
    <row r="313" spans="1:8" x14ac:dyDescent="0.25">
      <c r="A313" s="5" t="s">
        <v>3</v>
      </c>
      <c r="B313" s="5" t="s">
        <v>3</v>
      </c>
      <c r="C313" s="5" t="s">
        <v>759</v>
      </c>
      <c r="D313" s="6">
        <v>19.89</v>
      </c>
      <c r="E313" s="6">
        <v>0</v>
      </c>
      <c r="F313" s="6">
        <f>D313+E313</f>
        <v>19.89</v>
      </c>
      <c r="G313" s="5" t="s">
        <v>3</v>
      </c>
      <c r="H313" s="5" t="s">
        <v>3</v>
      </c>
    </row>
    <row r="315" spans="1:8" x14ac:dyDescent="0.25">
      <c r="A315" s="13" t="s">
        <v>3</v>
      </c>
      <c r="B315" s="13" t="s">
        <v>3</v>
      </c>
      <c r="C315" s="13" t="s">
        <v>484</v>
      </c>
      <c r="D315" s="14">
        <f>D5+D42+D44+D53+D78</f>
        <v>1239333.57</v>
      </c>
      <c r="E315" s="14">
        <f>E5+E42+E44+E53+E78</f>
        <v>233640.04</v>
      </c>
      <c r="F315" s="14">
        <f>F5+F42+F44+F53+F78</f>
        <v>1472973.61</v>
      </c>
      <c r="G315" s="13" t="s">
        <v>3</v>
      </c>
      <c r="H315" s="13" t="s">
        <v>3</v>
      </c>
    </row>
    <row r="316" spans="1:8" x14ac:dyDescent="0.25">
      <c r="A316" s="13" t="s">
        <v>3</v>
      </c>
      <c r="B316" s="13" t="s">
        <v>3</v>
      </c>
      <c r="C316" s="13" t="s">
        <v>485</v>
      </c>
      <c r="D316" s="14">
        <f>D91+D93+D95+D99+D103+D132+D135+D137+D142+D145+D160+D162+D166+D172+D174+D182+D184+D189+D191+D193+D195+D197+D208+D210+D214+D216+D220+D222+D285+D287+D289+D294+D296+D298+D307</f>
        <v>3122469.3</v>
      </c>
      <c r="E316" s="14">
        <f>E91+E93+E95+E99+E103+E132+E135+E137+E142+E145+E160+E162+E166+E172+E174+E182+E184+E189+E191+E193+E195+E197+E208+E210+E214+E216+E220+E222+E285+E287+E289+E294+E296+E298+E307</f>
        <v>-9026.75</v>
      </c>
      <c r="F316" s="14">
        <f>F91+F93+F95+F99+F103+F132+F135+F137+F142+F145+F160+F162+F166+F172+F174+F182+F184+F189+F191+F193+F195+F197+F208+F210+F214+F216+F220+F222+F285+F287+F289+F294+F296+F298+F307</f>
        <v>3113442.55</v>
      </c>
      <c r="G316" s="13" t="s">
        <v>3</v>
      </c>
      <c r="H316" s="13" t="s">
        <v>3</v>
      </c>
    </row>
    <row r="317" spans="1:8" x14ac:dyDescent="0.25">
      <c r="A317" s="19" t="s">
        <v>3</v>
      </c>
      <c r="B317" s="19" t="s">
        <v>3</v>
      </c>
      <c r="C317" s="19" t="s">
        <v>773</v>
      </c>
      <c r="D317" s="20">
        <f>D315+D316</f>
        <v>4361802.87</v>
      </c>
      <c r="E317" s="20">
        <f>E315+E316</f>
        <v>224613.29</v>
      </c>
      <c r="F317" s="20">
        <f>F315+F316</f>
        <v>4586416.16</v>
      </c>
      <c r="G317" s="19" t="s">
        <v>3</v>
      </c>
      <c r="H317" s="19" t="s">
        <v>3</v>
      </c>
    </row>
  </sheetData>
  <autoFilter ref="A4:H31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FormatPr defaultRowHeight="15" outlineLevelRow="0" outlineLevelCol="0" x14ac:dyDescent="55"/>
  <cols>
    <col min="1" max="1" width="14" customWidth="1"/>
    <col min="2" max="2" width="40" customWidth="1"/>
    <col min="3" max="8" width="14" customWidth="1"/>
    <col min="9" max="9" width="15" customWidth="1"/>
  </cols>
  <sheetData>
    <row r="1" ht="26" customHeight="1" spans="1:9" x14ac:dyDescent="0.25">
      <c r="A1" s="1" t="s">
        <v>357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2" t="s">
        <v>358</v>
      </c>
      <c r="B2" s="2"/>
      <c r="C2" s="2"/>
      <c r="D2" s="2"/>
      <c r="E2" s="2"/>
      <c r="F2" s="2"/>
      <c r="G2" s="2"/>
      <c r="H2" s="2"/>
      <c r="I2" s="2"/>
    </row>
    <row r="4" ht="22" customHeight="1" spans="1:9" x14ac:dyDescent="0.25">
      <c r="A4" s="3" t="s">
        <v>359</v>
      </c>
      <c r="B4" s="3"/>
      <c r="C4" s="3"/>
      <c r="D4" s="3"/>
      <c r="E4" s="3"/>
      <c r="F4" s="3"/>
      <c r="G4" s="3"/>
      <c r="H4" s="3"/>
      <c r="I4" s="3"/>
    </row>
    <row r="5" ht="30" customHeight="1" spans="1:9" x14ac:dyDescent="0.25">
      <c r="A5" s="4" t="s">
        <v>360</v>
      </c>
      <c r="B5" s="4" t="s">
        <v>361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spans="1:9" x14ac:dyDescent="0.25">
      <c r="A6" s="5" t="s">
        <v>362</v>
      </c>
      <c r="B6" s="5" t="s">
        <v>363</v>
      </c>
      <c r="C6" s="6">
        <f>'Jan'!F5</f>
        <v>639620.29</v>
      </c>
      <c r="D6" s="6">
        <f>'Fev'!F5</f>
        <v>470235.67</v>
      </c>
      <c r="E6" s="6">
        <f>'Mar'!F5</f>
        <v>480003.21</v>
      </c>
      <c r="F6" s="6">
        <f>'Abr'!F5</f>
        <v>409310.42</v>
      </c>
      <c r="G6" s="6">
        <f>'Mai'!F5</f>
        <v>367458.8</v>
      </c>
      <c r="H6" s="6">
        <f>'Jun'!F5</f>
        <v>525051.53</v>
      </c>
      <c r="I6" s="6">
        <f>SUM(C6:H6)</f>
        <v>2891679.92</v>
      </c>
    </row>
    <row r="7" spans="1:9" x14ac:dyDescent="0.25">
      <c r="A7" s="5" t="s">
        <v>364</v>
      </c>
      <c r="B7" s="5" t="s">
        <v>365</v>
      </c>
      <c r="C7" s="6">
        <f>'Jan'!F37</f>
        <v>82855.93</v>
      </c>
      <c r="D7" s="6">
        <f>'Fev'!F34</f>
        <v>77297.77</v>
      </c>
      <c r="E7" s="6">
        <f>'Mar'!F36</f>
        <v>90261.14</v>
      </c>
      <c r="F7" s="6">
        <f>'Abr'!F35</f>
        <v>88237</v>
      </c>
      <c r="G7" s="6">
        <f>'Mai'!F41</f>
        <v>83647.95</v>
      </c>
      <c r="H7" s="6">
        <f>'Jun'!F42</f>
        <v>81710.51</v>
      </c>
      <c r="I7" s="6">
        <f>SUM(C7:H7)</f>
        <v>504010.3</v>
      </c>
    </row>
    <row r="8" spans="1:9" x14ac:dyDescent="0.25">
      <c r="A8" s="5" t="s">
        <v>366</v>
      </c>
      <c r="B8" s="5" t="s">
        <v>367</v>
      </c>
      <c r="C8" s="6">
        <f>'Jan'!F39</f>
        <v>221658.88</v>
      </c>
      <c r="D8" s="6">
        <f>'Fev'!F36</f>
        <v>104342.26</v>
      </c>
      <c r="E8" s="6">
        <f>'Mar'!F38</f>
        <v>140383.78</v>
      </c>
      <c r="F8" s="6">
        <f>'Abr'!F37</f>
        <v>269754.87</v>
      </c>
      <c r="G8" s="6">
        <f>'Mai'!F43</f>
        <v>249354.54</v>
      </c>
      <c r="H8" s="6">
        <f>'Jun'!F44</f>
        <v>320313.47</v>
      </c>
      <c r="I8" s="6">
        <f>SUM(C8:H8)</f>
        <v>1305807.8</v>
      </c>
    </row>
    <row r="9" spans="1:9" x14ac:dyDescent="0.25">
      <c r="A9" s="5" t="s">
        <v>368</v>
      </c>
      <c r="B9" s="5" t="s">
        <v>369</v>
      </c>
      <c r="C9" s="6">
        <f>'Jan'!F45</f>
        <v>350882.47</v>
      </c>
      <c r="D9" s="6">
        <f>'Fev'!F41</f>
        <v>159560.04</v>
      </c>
      <c r="E9" s="6">
        <f>'Mar'!F43</f>
        <v>393235.14</v>
      </c>
      <c r="F9" s="6">
        <f>'Abr'!F41</f>
        <v>385424.66</v>
      </c>
      <c r="G9" s="6">
        <f>'Mai'!F50</f>
        <v>182706.33</v>
      </c>
      <c r="H9" s="6">
        <f>'Jun'!F53</f>
        <v>119226.56</v>
      </c>
      <c r="I9" s="6">
        <f>SUM(C9:H9)</f>
        <v>1591035.2</v>
      </c>
    </row>
    <row r="10" spans="1:9" x14ac:dyDescent="0.25">
      <c r="A10" s="5" t="s">
        <v>370</v>
      </c>
      <c r="B10" s="5" t="s">
        <v>371</v>
      </c>
      <c r="C10" s="6">
        <f>'Jan'!F71</f>
        <v>333432.53</v>
      </c>
      <c r="D10" s="6">
        <f>'Fev'!F60</f>
        <v>233105.93</v>
      </c>
      <c r="E10" s="6">
        <f>'Mar'!F62</f>
        <v>102326.52</v>
      </c>
      <c r="F10" s="6">
        <f>'Abr'!F65</f>
        <v>75429.38</v>
      </c>
      <c r="G10" s="6">
        <f>'Mai'!F72</f>
        <v>428744.16</v>
      </c>
      <c r="H10" s="6">
        <f>'Jun'!F78</f>
        <v>426671.54</v>
      </c>
      <c r="I10" s="6">
        <f>SUM(C10:H10)</f>
        <v>1599710.06</v>
      </c>
    </row>
    <row r="11" spans="1:9" x14ac:dyDescent="0.25">
      <c r="A11" s="5" t="s">
        <v>372</v>
      </c>
      <c r="B11" s="5" t="s">
        <v>373</v>
      </c>
      <c r="C11" s="6">
        <f>'Jan'!F80</f>
        <v>5575.24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f>SUM(C11:H11)</f>
        <v>5575.24</v>
      </c>
    </row>
    <row r="12" spans="1:9" x14ac:dyDescent="0.25">
      <c r="A12" s="5" t="s">
        <v>374</v>
      </c>
      <c r="B12" s="5" t="s">
        <v>375</v>
      </c>
      <c r="C12" s="6">
        <f>'Jan'!F83</f>
        <v>1300</v>
      </c>
      <c r="D12" s="6">
        <f>'Fev'!F70</f>
        <v>1500</v>
      </c>
      <c r="E12" s="6">
        <f>'Mar'!F72</f>
        <v>1500</v>
      </c>
      <c r="F12" s="6">
        <f>'Abr'!F75</f>
        <v>1500</v>
      </c>
      <c r="G12" s="6">
        <f>'Mai'!F86</f>
        <v>1500</v>
      </c>
      <c r="H12" s="6">
        <f>'Jun'!F91</f>
        <v>1500</v>
      </c>
      <c r="I12" s="6">
        <f>SUM(C12:H12)</f>
        <v>8800</v>
      </c>
    </row>
    <row r="13" spans="1:9" x14ac:dyDescent="0.25">
      <c r="A13" s="5" t="s">
        <v>376</v>
      </c>
      <c r="B13" s="5" t="s">
        <v>377</v>
      </c>
      <c r="C13" s="6">
        <f>'Jan'!F85</f>
        <v>125</v>
      </c>
      <c r="D13" s="6">
        <f>'Fev'!F72</f>
        <v>125</v>
      </c>
      <c r="E13" s="6">
        <f>'Mar'!F74</f>
        <v>125</v>
      </c>
      <c r="F13" s="6">
        <f>'Abr'!F77</f>
        <v>125</v>
      </c>
      <c r="G13" s="6">
        <f>'Mai'!F88</f>
        <v>125</v>
      </c>
      <c r="H13" s="6">
        <f>'Jun'!F93</f>
        <v>125</v>
      </c>
      <c r="I13" s="6">
        <f>SUM(C13:H13)</f>
        <v>750</v>
      </c>
    </row>
    <row r="14" spans="1:9" x14ac:dyDescent="0.25">
      <c r="A14" s="5" t="s">
        <v>378</v>
      </c>
      <c r="B14" s="5" t="s">
        <v>379</v>
      </c>
      <c r="C14" s="6">
        <f>'Jan'!F87</f>
        <v>2897.76</v>
      </c>
      <c r="D14" s="6">
        <f>'Fev'!F74</f>
        <v>2576.51</v>
      </c>
      <c r="E14" s="6">
        <f>'Mar'!F76</f>
        <v>235.52</v>
      </c>
      <c r="F14" s="6">
        <f>'Abr'!F79</f>
        <v>345.42</v>
      </c>
      <c r="G14" s="6">
        <f>'Mai'!F90</f>
        <v>1158.74</v>
      </c>
      <c r="H14" s="6">
        <f>'Jun'!F95</f>
        <v>1800.91</v>
      </c>
      <c r="I14" s="6">
        <f>SUM(C14:H14)</f>
        <v>9014.86</v>
      </c>
    </row>
    <row r="15" spans="1:9" x14ac:dyDescent="0.25">
      <c r="A15" s="5" t="s">
        <v>380</v>
      </c>
      <c r="B15" s="5" t="s">
        <v>381</v>
      </c>
      <c r="C15" s="6">
        <v>0</v>
      </c>
      <c r="D15" s="6">
        <v>0</v>
      </c>
      <c r="E15" s="6">
        <f>'Mar'!F78</f>
        <v>13957.29</v>
      </c>
      <c r="F15" s="6">
        <f>'Abr'!F82</f>
        <v>1744.29</v>
      </c>
      <c r="G15" s="6">
        <f>'Mai'!F93</f>
        <v>30963.37</v>
      </c>
      <c r="H15" s="6">
        <f>'Jun'!F99</f>
        <v>16377.65</v>
      </c>
      <c r="I15" s="6">
        <f>SUM(C15:H15)</f>
        <v>63042.6</v>
      </c>
    </row>
    <row r="16" spans="1:9" x14ac:dyDescent="0.25">
      <c r="A16" s="5" t="s">
        <v>382</v>
      </c>
      <c r="B16" s="5" t="s">
        <v>383</v>
      </c>
      <c r="C16" s="6">
        <f>'Jan'!F94</f>
        <v>250115.66</v>
      </c>
      <c r="D16" s="6">
        <f>'Fev'!F79</f>
        <v>83489.94</v>
      </c>
      <c r="E16" s="6">
        <f>'Mar'!F83</f>
        <v>129339.92</v>
      </c>
      <c r="F16" s="6">
        <f>'Abr'!F85</f>
        <v>258182.39</v>
      </c>
      <c r="G16" s="6">
        <f>'Mai'!F100</f>
        <v>150936.52</v>
      </c>
      <c r="H16" s="6">
        <f>'Jun'!F103</f>
        <v>222367.92</v>
      </c>
      <c r="I16" s="6">
        <f>SUM(C16:H16)</f>
        <v>1094432.35</v>
      </c>
    </row>
    <row r="17" spans="1:9" x14ac:dyDescent="0.25">
      <c r="A17" s="5" t="s">
        <v>384</v>
      </c>
      <c r="B17" s="5" t="s">
        <v>385</v>
      </c>
      <c r="C17" s="6">
        <f>'Jan'!F127</f>
        <v>14835.11</v>
      </c>
      <c r="D17" s="6">
        <f>'Fev'!F106</f>
        <v>9105.76</v>
      </c>
      <c r="E17" s="6">
        <f>'Mar'!F109</f>
        <v>17762.35</v>
      </c>
      <c r="F17" s="6">
        <f>'Abr'!F114</f>
        <v>19568.98</v>
      </c>
      <c r="G17" s="6">
        <f>'Mai'!F137</f>
        <v>21930.12</v>
      </c>
      <c r="H17" s="6">
        <f>'Jun'!F132</f>
        <v>18767.06</v>
      </c>
      <c r="I17" s="6">
        <f>SUM(C17:H17)</f>
        <v>101969.38</v>
      </c>
    </row>
    <row r="18" spans="1:9" x14ac:dyDescent="0.25">
      <c r="A18" s="5" t="s">
        <v>386</v>
      </c>
      <c r="B18" s="5" t="s">
        <v>387</v>
      </c>
      <c r="C18" s="6">
        <f>'Jan'!F131</f>
        <v>2983.71</v>
      </c>
      <c r="D18" s="6">
        <f>'Fev'!F110</f>
        <v>3002.34</v>
      </c>
      <c r="E18" s="6">
        <f>'Mar'!F113</f>
        <v>2883.64</v>
      </c>
      <c r="F18" s="6">
        <f>'Abr'!F118</f>
        <v>2882.62</v>
      </c>
      <c r="G18" s="6">
        <f>'Mai'!F141</f>
        <v>2473.96</v>
      </c>
      <c r="H18" s="6">
        <f>'Jun'!F135</f>
        <v>703.71</v>
      </c>
      <c r="I18" s="6">
        <f>SUM(C18:H18)</f>
        <v>14929.98</v>
      </c>
    </row>
    <row r="19" spans="1:9" x14ac:dyDescent="0.25">
      <c r="A19" s="5" t="s">
        <v>388</v>
      </c>
      <c r="B19" s="5" t="s">
        <v>389</v>
      </c>
      <c r="C19" s="6">
        <v>0</v>
      </c>
      <c r="D19" s="6">
        <v>0</v>
      </c>
      <c r="E19" s="6">
        <f>'Mar'!F116</f>
        <v>2000</v>
      </c>
      <c r="F19" s="6">
        <f>'Abr'!F121</f>
        <v>2000</v>
      </c>
      <c r="G19" s="6">
        <f>'Mai'!F144</f>
        <v>2000</v>
      </c>
      <c r="H19" s="6">
        <v>0</v>
      </c>
      <c r="I19" s="6">
        <f>SUM(C19:H19)</f>
        <v>6000</v>
      </c>
    </row>
    <row r="20" spans="1:9" x14ac:dyDescent="0.25">
      <c r="A20" s="5" t="s">
        <v>390</v>
      </c>
      <c r="B20" s="5" t="s">
        <v>391</v>
      </c>
      <c r="C20" s="6">
        <f>'Jan'!F134</f>
        <v>569</v>
      </c>
      <c r="D20" s="6">
        <f>'Fev'!F113</f>
        <v>2769</v>
      </c>
      <c r="E20" s="6">
        <v>0</v>
      </c>
      <c r="F20" s="6">
        <f>'Abr'!F123</f>
        <v>1453.58</v>
      </c>
      <c r="G20" s="6">
        <f>'Mai'!F146</f>
        <v>-473.05</v>
      </c>
      <c r="H20" s="6">
        <f>'Jun'!F137</f>
        <v>1141</v>
      </c>
      <c r="I20" s="6">
        <f>SUM(C20:H20)</f>
        <v>5459.53</v>
      </c>
    </row>
    <row r="21" spans="1:9" x14ac:dyDescent="0.25">
      <c r="A21" s="5" t="s">
        <v>392</v>
      </c>
      <c r="B21" s="5" t="s">
        <v>393</v>
      </c>
      <c r="C21" s="6">
        <f>'Jan'!F136</f>
        <v>34210.65</v>
      </c>
      <c r="D21" s="6">
        <f>'Fev'!F116</f>
        <v>58359.7</v>
      </c>
      <c r="E21" s="6">
        <f>'Mar'!F118</f>
        <v>11862.57</v>
      </c>
      <c r="F21" s="6">
        <f>'Abr'!F128</f>
        <v>18995.22</v>
      </c>
      <c r="G21" s="6">
        <f>'Mai'!F152</f>
        <v>14261.79</v>
      </c>
      <c r="H21" s="6">
        <f>'Jun'!F142</f>
        <v>7153.7</v>
      </c>
      <c r="I21" s="6">
        <f>SUM(C21:H21)</f>
        <v>144843.63</v>
      </c>
    </row>
    <row r="22" spans="1:9" x14ac:dyDescent="0.25">
      <c r="A22" s="5" t="s">
        <v>394</v>
      </c>
      <c r="B22" s="5" t="s">
        <v>395</v>
      </c>
      <c r="C22" s="6">
        <f>'Jan'!F143</f>
        <v>2333.82</v>
      </c>
      <c r="D22" s="6">
        <f>'Fev'!F127</f>
        <v>3814.37</v>
      </c>
      <c r="E22" s="6">
        <f>'Mar'!F122</f>
        <v>1131.89</v>
      </c>
      <c r="F22" s="6">
        <f>'Abr'!F136</f>
        <v>793.24</v>
      </c>
      <c r="G22" s="6">
        <f>'Mai'!F160</f>
        <v>1300.59</v>
      </c>
      <c r="H22" s="6">
        <f>'Jun'!F145</f>
        <v>1422.09</v>
      </c>
      <c r="I22" s="6">
        <f>SUM(C22:H22)</f>
        <v>10796</v>
      </c>
    </row>
    <row r="23" spans="1:9" x14ac:dyDescent="0.25">
      <c r="A23" s="5" t="s">
        <v>396</v>
      </c>
      <c r="B23" s="5" t="s">
        <v>397</v>
      </c>
      <c r="C23" s="6">
        <f>'Jan'!F146</f>
        <v>13412.1</v>
      </c>
      <c r="D23" s="6">
        <f>'Fev'!F134</f>
        <v>3387.44</v>
      </c>
      <c r="E23" s="6">
        <f>'Mar'!F132</f>
        <v>593.99</v>
      </c>
      <c r="F23" s="6">
        <f>'Abr'!F148</f>
        <v>236.84</v>
      </c>
      <c r="G23" s="6">
        <f>'Mai'!F166</f>
        <v>3812.63</v>
      </c>
      <c r="H23" s="6">
        <f>'Jun'!F160</f>
        <v>120.86</v>
      </c>
      <c r="I23" s="6">
        <f>SUM(C23:H23)</f>
        <v>21563.86</v>
      </c>
    </row>
    <row r="24" spans="1:9" x14ac:dyDescent="0.25">
      <c r="A24" s="5" t="s">
        <v>398</v>
      </c>
      <c r="B24" s="5" t="s">
        <v>399</v>
      </c>
      <c r="C24" s="6">
        <v>0</v>
      </c>
      <c r="D24" s="6">
        <f>'Fev'!F150</f>
        <v>564.5</v>
      </c>
      <c r="E24" s="6">
        <f>'Mar'!F136</f>
        <v>33</v>
      </c>
      <c r="F24" s="6">
        <v>0</v>
      </c>
      <c r="G24" s="6">
        <v>0</v>
      </c>
      <c r="H24" s="6">
        <v>0</v>
      </c>
      <c r="I24" s="6">
        <f>SUM(C24:H24)</f>
        <v>597.5</v>
      </c>
    </row>
    <row r="25" spans="1:9" x14ac:dyDescent="0.25">
      <c r="A25" s="5" t="s">
        <v>400</v>
      </c>
      <c r="B25" s="5" t="s">
        <v>401</v>
      </c>
      <c r="C25" s="6">
        <f>'Jan'!F150</f>
        <v>3001.06</v>
      </c>
      <c r="D25" s="6">
        <f>'Fev'!F153</f>
        <v>182073.72</v>
      </c>
      <c r="E25" s="6">
        <f>'Mar'!F138</f>
        <v>3207.72</v>
      </c>
      <c r="F25" s="6">
        <f>'Abr'!F150</f>
        <v>4270.64</v>
      </c>
      <c r="G25" s="6">
        <f>'Mai'!F173</f>
        <v>3417.46</v>
      </c>
      <c r="H25" s="6">
        <f>'Jun'!F162</f>
        <v>3248.8</v>
      </c>
      <c r="I25" s="6">
        <f>SUM(C25:H25)</f>
        <v>199219.4</v>
      </c>
    </row>
    <row r="26" spans="1:9" x14ac:dyDescent="0.25">
      <c r="A26" s="5" t="s">
        <v>402</v>
      </c>
      <c r="B26" s="5" t="s">
        <v>403</v>
      </c>
      <c r="C26" s="6">
        <v>0</v>
      </c>
      <c r="D26" s="6">
        <v>0</v>
      </c>
      <c r="E26" s="6">
        <f>'Mar'!F142</f>
        <v>470</v>
      </c>
      <c r="F26" s="6">
        <f>'Abr'!F155</f>
        <v>193277.8</v>
      </c>
      <c r="G26" s="6">
        <f>'Mai'!F177</f>
        <v>994.76</v>
      </c>
      <c r="H26" s="6">
        <v>0</v>
      </c>
      <c r="I26" s="6">
        <f>SUM(C26:H26)</f>
        <v>194742.56</v>
      </c>
    </row>
    <row r="27" spans="1:9" x14ac:dyDescent="0.25">
      <c r="A27" s="5" t="s">
        <v>404</v>
      </c>
      <c r="B27" s="5" t="s">
        <v>405</v>
      </c>
      <c r="C27" s="6">
        <f>'Jan'!F153</f>
        <v>648.33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f>SUM(C27:H27)</f>
        <v>648.33</v>
      </c>
    </row>
    <row r="28" spans="1:9" x14ac:dyDescent="0.25">
      <c r="A28" s="5" t="s">
        <v>406</v>
      </c>
      <c r="B28" s="5" t="s">
        <v>407</v>
      </c>
      <c r="C28" s="6">
        <f>'Jan'!F155</f>
        <v>4589.63</v>
      </c>
      <c r="D28" s="6">
        <v>0</v>
      </c>
      <c r="E28" s="6">
        <f>'Mar'!F144</f>
        <v>784.95</v>
      </c>
      <c r="F28" s="6">
        <f>'Abr'!F165</f>
        <v>1166.94</v>
      </c>
      <c r="G28" s="6">
        <f>'Mai'!F179</f>
        <v>1767.62</v>
      </c>
      <c r="H28" s="6">
        <f>'Jun'!F166</f>
        <v>1510.32</v>
      </c>
      <c r="I28" s="6">
        <f>SUM(C28:H28)</f>
        <v>9819.46</v>
      </c>
    </row>
    <row r="29" spans="1:9" x14ac:dyDescent="0.25">
      <c r="A29" s="5" t="s">
        <v>408</v>
      </c>
      <c r="B29" s="5" t="s">
        <v>409</v>
      </c>
      <c r="C29" s="6">
        <f>'Jan'!F164</f>
        <v>800</v>
      </c>
      <c r="D29" s="6">
        <v>0</v>
      </c>
      <c r="E29" s="6">
        <f>'Mar'!F147</f>
        <v>6</v>
      </c>
      <c r="F29" s="6">
        <f>'Abr'!F168</f>
        <v>130.6</v>
      </c>
      <c r="G29" s="6">
        <f>'Mai'!F182</f>
        <v>183.45</v>
      </c>
      <c r="H29" s="6">
        <f>'Jun'!F172</f>
        <v>121.25</v>
      </c>
      <c r="I29" s="6">
        <f>SUM(C29:H29)</f>
        <v>1241.3</v>
      </c>
    </row>
    <row r="30" spans="1:9" x14ac:dyDescent="0.25">
      <c r="A30" s="5" t="s">
        <v>410</v>
      </c>
      <c r="B30" s="5" t="s">
        <v>411</v>
      </c>
      <c r="C30" s="6">
        <f>'Jan'!F166</f>
        <v>9494.44</v>
      </c>
      <c r="D30" s="6">
        <f>'Fev'!F157</f>
        <v>7452.94</v>
      </c>
      <c r="E30" s="6">
        <f>'Mar'!F149</f>
        <v>407.67</v>
      </c>
      <c r="F30" s="6">
        <f>'Abr'!F170</f>
        <v>206.49</v>
      </c>
      <c r="G30" s="6">
        <f>'Mai'!F185</f>
        <v>450.08</v>
      </c>
      <c r="H30" s="6">
        <f>'Jun'!F174</f>
        <v>519.01</v>
      </c>
      <c r="I30" s="6">
        <f>SUM(C30:H30)</f>
        <v>18530.63</v>
      </c>
    </row>
    <row r="31" spans="1:9" x14ac:dyDescent="0.25">
      <c r="A31" s="5" t="s">
        <v>412</v>
      </c>
      <c r="B31" s="5" t="s">
        <v>413</v>
      </c>
      <c r="C31" s="6">
        <v>0</v>
      </c>
      <c r="D31" s="6">
        <v>0</v>
      </c>
      <c r="E31" s="6">
        <f>'Mar'!F154</f>
        <v>240.66</v>
      </c>
      <c r="F31" s="6">
        <f>'Abr'!F173</f>
        <v>97.18</v>
      </c>
      <c r="G31" s="6">
        <v>0</v>
      </c>
      <c r="H31" s="6">
        <v>0</v>
      </c>
      <c r="I31" s="6">
        <f>SUM(C31:H31)</f>
        <v>337.84</v>
      </c>
    </row>
    <row r="32" spans="1:9" x14ac:dyDescent="0.25">
      <c r="A32" s="5" t="s">
        <v>414</v>
      </c>
      <c r="B32" s="5" t="s">
        <v>415</v>
      </c>
      <c r="C32" s="6">
        <f>'Jan'!F176</f>
        <v>7000</v>
      </c>
      <c r="D32" s="6">
        <f>'Fev'!F164</f>
        <v>4544.97</v>
      </c>
      <c r="E32" s="6">
        <f>'Mar'!F157</f>
        <v>776.79</v>
      </c>
      <c r="F32" s="6">
        <f>'Abr'!F175</f>
        <v>11875.76</v>
      </c>
      <c r="G32" s="6">
        <f>'Mai'!F190</f>
        <v>4018.9</v>
      </c>
      <c r="H32" s="6">
        <f>'Jun'!F182</f>
        <v>557.7</v>
      </c>
      <c r="I32" s="6">
        <f>SUM(C32:H32)</f>
        <v>28774.12</v>
      </c>
    </row>
    <row r="33" spans="1:9" x14ac:dyDescent="0.25">
      <c r="A33" s="5" t="s">
        <v>416</v>
      </c>
      <c r="B33" s="5" t="s">
        <v>417</v>
      </c>
      <c r="C33" s="6">
        <f>'Jan'!F178</f>
        <v>1043.72</v>
      </c>
      <c r="D33" s="6">
        <f>'Fev'!F168</f>
        <v>1177.8</v>
      </c>
      <c r="E33" s="6">
        <v>0</v>
      </c>
      <c r="F33" s="6">
        <v>0</v>
      </c>
      <c r="G33" s="6">
        <v>0</v>
      </c>
      <c r="H33" s="6">
        <f>'Jun'!F184</f>
        <v>4465.87</v>
      </c>
      <c r="I33" s="6">
        <f>SUM(C33:H33)</f>
        <v>6687.39</v>
      </c>
    </row>
    <row r="34" spans="1:9" x14ac:dyDescent="0.25">
      <c r="A34" s="5" t="s">
        <v>418</v>
      </c>
      <c r="B34" s="5" t="s">
        <v>419</v>
      </c>
      <c r="C34" s="6">
        <v>0</v>
      </c>
      <c r="D34" s="6">
        <f>'Fev'!F170</f>
        <v>267493.78</v>
      </c>
      <c r="E34" s="6">
        <v>0</v>
      </c>
      <c r="F34" s="6">
        <v>0</v>
      </c>
      <c r="G34" s="6">
        <f>'Mai'!F194</f>
        <v>8649.77</v>
      </c>
      <c r="H34" s="6">
        <v>0</v>
      </c>
      <c r="I34" s="6">
        <f>SUM(C34:H34)</f>
        <v>276143.55</v>
      </c>
    </row>
    <row r="35" spans="1:9" x14ac:dyDescent="0.25">
      <c r="A35" s="5" t="s">
        <v>420</v>
      </c>
      <c r="B35" s="5" t="s">
        <v>421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f>'Jun'!F189</f>
        <v>346.82</v>
      </c>
      <c r="I35" s="6">
        <f>SUM(C35:H35)</f>
        <v>346.82</v>
      </c>
    </row>
    <row r="36" spans="1:9" x14ac:dyDescent="0.25">
      <c r="A36" s="5" t="s">
        <v>422</v>
      </c>
      <c r="B36" s="5" t="s">
        <v>423</v>
      </c>
      <c r="C36" s="6">
        <f>'Jan'!F180</f>
        <v>5400</v>
      </c>
      <c r="D36" s="6">
        <f>'Fev'!F212</f>
        <v>2060</v>
      </c>
      <c r="E36" s="6">
        <f>'Mar'!F160</f>
        <v>7464.74</v>
      </c>
      <c r="F36" s="6">
        <f>'Abr'!F179</f>
        <v>260</v>
      </c>
      <c r="G36" s="6">
        <f>'Mai'!F200</f>
        <v>995.26</v>
      </c>
      <c r="H36" s="6">
        <f>'Jun'!F191</f>
        <v>500</v>
      </c>
      <c r="I36" s="6">
        <f>SUM(C36:H36)</f>
        <v>16680</v>
      </c>
    </row>
    <row r="37" spans="1:9" x14ac:dyDescent="0.25">
      <c r="A37" s="5" t="s">
        <v>424</v>
      </c>
      <c r="B37" s="5" t="s">
        <v>425</v>
      </c>
      <c r="C37" s="6">
        <f>'Jan'!F182</f>
        <v>507493.95</v>
      </c>
      <c r="D37" s="6">
        <f>'Fev'!F215</f>
        <v>587911.77</v>
      </c>
      <c r="E37" s="6">
        <f>'Mar'!F165</f>
        <v>832108.38</v>
      </c>
      <c r="F37" s="6">
        <f>'Abr'!F181</f>
        <v>714588.92</v>
      </c>
      <c r="G37" s="6">
        <f>'Mai'!F203</f>
        <v>1057894.17</v>
      </c>
      <c r="H37" s="6">
        <f>'Jun'!F193</f>
        <v>1182057.66</v>
      </c>
      <c r="I37" s="6">
        <f>SUM(C37:H37)</f>
        <v>4882054.85</v>
      </c>
    </row>
    <row r="38" spans="1:9" x14ac:dyDescent="0.25">
      <c r="A38" s="5" t="s">
        <v>426</v>
      </c>
      <c r="B38" s="5" t="s">
        <v>427</v>
      </c>
      <c r="C38" s="6">
        <f>'Jan'!F184</f>
        <v>213859</v>
      </c>
      <c r="D38" s="6">
        <f>'Fev'!F217</f>
        <v>127102.17</v>
      </c>
      <c r="E38" s="6">
        <f>'Mar'!F167</f>
        <v>184568.47</v>
      </c>
      <c r="F38" s="6">
        <f>'Abr'!F183</f>
        <v>606552.85</v>
      </c>
      <c r="G38" s="6">
        <f>'Mai'!F205</f>
        <v>732474.29</v>
      </c>
      <c r="H38" s="6">
        <f>'Jun'!F195</f>
        <v>699509.67</v>
      </c>
      <c r="I38" s="6">
        <f>SUM(C38:H38)</f>
        <v>2564066.45</v>
      </c>
    </row>
    <row r="39" spans="1:9" x14ac:dyDescent="0.25">
      <c r="A39" s="5" t="s">
        <v>428</v>
      </c>
      <c r="B39" s="5" t="s">
        <v>429</v>
      </c>
      <c r="C39" s="6">
        <f>'Jan'!F186</f>
        <v>12376.9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f>SUM(C39:H39)</f>
        <v>12376.9</v>
      </c>
    </row>
    <row r="40" spans="1:9" x14ac:dyDescent="0.25">
      <c r="A40" s="5" t="s">
        <v>430</v>
      </c>
      <c r="B40" s="5" t="s">
        <v>431</v>
      </c>
      <c r="C40" s="6">
        <f>'Jan'!F188</f>
        <v>59878.64</v>
      </c>
      <c r="D40" s="6">
        <f>'Fev'!F219</f>
        <v>58230</v>
      </c>
      <c r="E40" s="6">
        <f>'Mar'!F169</f>
        <v>63542</v>
      </c>
      <c r="F40" s="6">
        <f>'Abr'!F185</f>
        <v>57095.5</v>
      </c>
      <c r="G40" s="6">
        <f>'Mai'!F207</f>
        <v>33854.5</v>
      </c>
      <c r="H40" s="6">
        <f>'Jun'!F197</f>
        <v>59310.11</v>
      </c>
      <c r="I40" s="6">
        <f>SUM(C40:H40)</f>
        <v>331910.75</v>
      </c>
    </row>
    <row r="41" spans="1:9" x14ac:dyDescent="0.25">
      <c r="A41" s="5" t="s">
        <v>432</v>
      </c>
      <c r="B41" s="5" t="s">
        <v>433</v>
      </c>
      <c r="C41" s="6">
        <f>'Jan'!F199</f>
        <v>35000</v>
      </c>
      <c r="D41" s="6">
        <v>0</v>
      </c>
      <c r="E41" s="6">
        <f>'Mar'!F182</f>
        <v>49131.91</v>
      </c>
      <c r="F41" s="6">
        <v>0</v>
      </c>
      <c r="G41" s="6">
        <v>0</v>
      </c>
      <c r="H41" s="6">
        <v>0</v>
      </c>
      <c r="I41" s="6">
        <f>SUM(C41:H41)</f>
        <v>84131.91</v>
      </c>
    </row>
    <row r="42" spans="1:9" x14ac:dyDescent="0.25">
      <c r="A42" s="5" t="s">
        <v>434</v>
      </c>
      <c r="B42" s="5" t="s">
        <v>435</v>
      </c>
      <c r="C42" s="6">
        <v>0</v>
      </c>
      <c r="D42" s="6">
        <v>0</v>
      </c>
      <c r="E42" s="6">
        <v>0</v>
      </c>
      <c r="F42" s="6">
        <v>0</v>
      </c>
      <c r="G42" s="6">
        <f>'Mai'!F219</f>
        <v>28.98</v>
      </c>
      <c r="H42" s="6">
        <f>'Jun'!F208</f>
        <v>28.98</v>
      </c>
      <c r="I42" s="6">
        <f>SUM(C42:H42)</f>
        <v>57.96</v>
      </c>
    </row>
    <row r="43" spans="1:9" x14ac:dyDescent="0.25">
      <c r="A43" s="5" t="s">
        <v>436</v>
      </c>
      <c r="B43" s="5" t="s">
        <v>437</v>
      </c>
      <c r="C43" s="6">
        <v>0</v>
      </c>
      <c r="D43" s="6">
        <v>0</v>
      </c>
      <c r="E43" s="6">
        <f>'Mar'!F184</f>
        <v>51.21</v>
      </c>
      <c r="F43" s="6">
        <f>'Abr'!F196</f>
        <v>6869.98</v>
      </c>
      <c r="G43" s="6">
        <f>'Mai'!F221</f>
        <v>256.16</v>
      </c>
      <c r="H43" s="6">
        <v>0</v>
      </c>
      <c r="I43" s="6">
        <f>SUM(C43:H43)</f>
        <v>7177.35</v>
      </c>
    </row>
    <row r="44" spans="1:9" x14ac:dyDescent="0.25">
      <c r="A44" s="5" t="s">
        <v>438</v>
      </c>
      <c r="B44" s="5" t="s">
        <v>439</v>
      </c>
      <c r="C44" s="6">
        <v>0</v>
      </c>
      <c r="D44" s="6">
        <v>0</v>
      </c>
      <c r="E44" s="6">
        <f>'Mar'!F186</f>
        <v>197.5</v>
      </c>
      <c r="F44" s="6">
        <v>0</v>
      </c>
      <c r="G44" s="6">
        <v>0</v>
      </c>
      <c r="H44" s="6">
        <v>0</v>
      </c>
      <c r="I44" s="6">
        <f>SUM(C44:H44)</f>
        <v>197.5</v>
      </c>
    </row>
    <row r="45" spans="1:9" x14ac:dyDescent="0.25">
      <c r="A45" s="5" t="s">
        <v>440</v>
      </c>
      <c r="B45" s="5" t="s">
        <v>441</v>
      </c>
      <c r="C45" s="6">
        <f>'Jan'!F201</f>
        <v>7602.7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f>SUM(C45:H45)</f>
        <v>7602.7</v>
      </c>
    </row>
    <row r="46" spans="1:9" x14ac:dyDescent="0.25">
      <c r="A46" s="5" t="s">
        <v>442</v>
      </c>
      <c r="B46" s="5" t="s">
        <v>443</v>
      </c>
      <c r="C46" s="6">
        <v>0</v>
      </c>
      <c r="D46" s="6">
        <f>'Fev'!F230</f>
        <v>2509</v>
      </c>
      <c r="E46" s="6">
        <v>0</v>
      </c>
      <c r="F46" s="6">
        <v>0</v>
      </c>
      <c r="G46" s="6">
        <v>0</v>
      </c>
      <c r="H46" s="6">
        <v>0</v>
      </c>
      <c r="I46" s="6">
        <f>SUM(C46:H46)</f>
        <v>2509</v>
      </c>
    </row>
    <row r="47" spans="1:9" x14ac:dyDescent="0.25">
      <c r="A47" s="5" t="s">
        <v>444</v>
      </c>
      <c r="B47" s="5" t="s">
        <v>445</v>
      </c>
      <c r="C47" s="6">
        <v>0</v>
      </c>
      <c r="D47" s="6">
        <v>0</v>
      </c>
      <c r="E47" s="6">
        <v>0</v>
      </c>
      <c r="F47" s="6">
        <f>'Abr'!F198</f>
        <v>7.52</v>
      </c>
      <c r="G47" s="6">
        <v>0</v>
      </c>
      <c r="H47" s="6">
        <v>0</v>
      </c>
      <c r="I47" s="6">
        <f>SUM(C47:H47)</f>
        <v>7.52</v>
      </c>
    </row>
    <row r="48" spans="1:9" x14ac:dyDescent="0.25">
      <c r="A48" s="5" t="s">
        <v>446</v>
      </c>
      <c r="B48" s="5" t="s">
        <v>447</v>
      </c>
      <c r="C48" s="6">
        <v>0</v>
      </c>
      <c r="D48" s="6">
        <v>0</v>
      </c>
      <c r="E48" s="6">
        <f>'Mar'!F188</f>
        <v>260</v>
      </c>
      <c r="F48" s="6">
        <f>'Abr'!F200</f>
        <v>2640</v>
      </c>
      <c r="G48" s="6">
        <f>'Mai'!F223</f>
        <v>3860</v>
      </c>
      <c r="H48" s="6">
        <v>0</v>
      </c>
      <c r="I48" s="6">
        <f>SUM(C48:H48)</f>
        <v>6760</v>
      </c>
    </row>
    <row r="49" spans="1:9" x14ac:dyDescent="0.25">
      <c r="A49" s="5" t="s">
        <v>448</v>
      </c>
      <c r="B49" s="5" t="s">
        <v>449</v>
      </c>
      <c r="C49" s="6">
        <f>'Jan'!F203</f>
        <v>77.07</v>
      </c>
      <c r="D49" s="6">
        <f>'Fev'!F232</f>
        <v>450.23</v>
      </c>
      <c r="E49" s="6">
        <f>'Mar'!F190</f>
        <v>17.86</v>
      </c>
      <c r="F49" s="6">
        <v>0</v>
      </c>
      <c r="G49" s="6">
        <f>'Mai'!F225</f>
        <v>662.05</v>
      </c>
      <c r="H49" s="6">
        <f>'Jun'!F210</f>
        <v>1145.49</v>
      </c>
      <c r="I49" s="6">
        <f>SUM(C49:H49)</f>
        <v>2352.7</v>
      </c>
    </row>
    <row r="50" spans="1:9" x14ac:dyDescent="0.25">
      <c r="A50" s="5" t="s">
        <v>450</v>
      </c>
      <c r="B50" s="5" t="s">
        <v>451</v>
      </c>
      <c r="C50" s="6">
        <f>'Jan'!F205</f>
        <v>19289.18</v>
      </c>
      <c r="D50" s="6">
        <f>'Fev'!F235</f>
        <v>10309.18</v>
      </c>
      <c r="E50" s="6">
        <f>'Mar'!F192</f>
        <v>10309.18</v>
      </c>
      <c r="F50" s="6">
        <f>'Abr'!F207</f>
        <v>14209.18</v>
      </c>
      <c r="G50" s="6">
        <f>'Mai'!F227</f>
        <v>13309.18</v>
      </c>
      <c r="H50" s="6">
        <f>'Jun'!F214</f>
        <v>13309.18</v>
      </c>
      <c r="I50" s="6">
        <f>SUM(C50:H50)</f>
        <v>80735.08</v>
      </c>
    </row>
    <row r="51" spans="1:9" x14ac:dyDescent="0.25">
      <c r="A51" s="5" t="s">
        <v>452</v>
      </c>
      <c r="B51" s="5" t="s">
        <v>453</v>
      </c>
      <c r="C51" s="6">
        <f>'Jan'!F207</f>
        <v>41323.55</v>
      </c>
      <c r="D51" s="6">
        <f>'Fev'!F237</f>
        <v>12549.89</v>
      </c>
      <c r="E51" s="6">
        <f>'Mar'!F194</f>
        <v>12942.74</v>
      </c>
      <c r="F51" s="6">
        <f>'Abr'!F209</f>
        <v>9916</v>
      </c>
      <c r="G51" s="6">
        <f>'Mai'!F229</f>
        <v>-5415.32</v>
      </c>
      <c r="H51" s="6">
        <v>0</v>
      </c>
      <c r="I51" s="6">
        <f>SUM(C51:H51)</f>
        <v>71316.86</v>
      </c>
    </row>
    <row r="52" spans="1:9" x14ac:dyDescent="0.25">
      <c r="A52" s="5" t="s">
        <v>454</v>
      </c>
      <c r="B52" s="5" t="s">
        <v>455</v>
      </c>
      <c r="C52" s="6">
        <f>'Jan'!F211</f>
        <v>7580</v>
      </c>
      <c r="D52" s="6">
        <f>'Fev'!F240</f>
        <v>10094.89</v>
      </c>
      <c r="E52" s="6">
        <f>'Mar'!F197</f>
        <v>11090</v>
      </c>
      <c r="F52" s="6">
        <f>'Abr'!F213</f>
        <v>9180</v>
      </c>
      <c r="G52" s="6">
        <f>'Mai'!F232</f>
        <v>11560</v>
      </c>
      <c r="H52" s="6">
        <f>'Jun'!F216</f>
        <v>8780</v>
      </c>
      <c r="I52" s="6">
        <f>SUM(C52:H52)</f>
        <v>58284.89</v>
      </c>
    </row>
    <row r="53" spans="1:9" x14ac:dyDescent="0.25">
      <c r="A53" s="5" t="s">
        <v>456</v>
      </c>
      <c r="B53" s="5" t="s">
        <v>457</v>
      </c>
      <c r="C53" s="6">
        <f>'Jan'!F215</f>
        <v>7500</v>
      </c>
      <c r="D53" s="6">
        <f>'Fev'!F246</f>
        <v>7500</v>
      </c>
      <c r="E53" s="6">
        <f>'Mar'!F204</f>
        <v>7500</v>
      </c>
      <c r="F53" s="6">
        <f>'Abr'!F217</f>
        <v>7500</v>
      </c>
      <c r="G53" s="6">
        <f>'Mai'!F235</f>
        <v>7500</v>
      </c>
      <c r="H53" s="6">
        <f>'Jun'!F220</f>
        <v>7500</v>
      </c>
      <c r="I53" s="6">
        <f>SUM(C53:H53)</f>
        <v>45000</v>
      </c>
    </row>
    <row r="54" spans="1:9" x14ac:dyDescent="0.25">
      <c r="A54" s="5" t="s">
        <v>458</v>
      </c>
      <c r="B54" s="5" t="s">
        <v>459</v>
      </c>
      <c r="C54" s="6">
        <f>'Jan'!F217</f>
        <v>1091975.75</v>
      </c>
      <c r="D54" s="6">
        <f>'Fev'!F248</f>
        <v>402182.92</v>
      </c>
      <c r="E54" s="6">
        <f>'Mar'!F206</f>
        <v>780466.91</v>
      </c>
      <c r="F54" s="6">
        <f>'Abr'!F219</f>
        <v>433633.26</v>
      </c>
      <c r="G54" s="6">
        <f>'Mai'!F237</f>
        <v>841031.26</v>
      </c>
      <c r="H54" s="6">
        <f>'Jun'!F222</f>
        <v>780634.78</v>
      </c>
      <c r="I54" s="6">
        <f>SUM(C54:H54)</f>
        <v>4329924.88</v>
      </c>
    </row>
    <row r="55" spans="1:9" x14ac:dyDescent="0.25">
      <c r="A55" s="5" t="s">
        <v>460</v>
      </c>
      <c r="B55" s="5" t="s">
        <v>461</v>
      </c>
      <c r="C55" s="6">
        <f>'Jan'!F280</f>
        <v>26951.61</v>
      </c>
      <c r="D55" s="6">
        <f>'Fev'!F290</f>
        <v>28714.23</v>
      </c>
      <c r="E55" s="6">
        <f>'Mar'!F275</f>
        <v>27500</v>
      </c>
      <c r="F55" s="6">
        <f>'Abr'!F276</f>
        <v>27500</v>
      </c>
      <c r="G55" s="6">
        <f>'Mai'!F309</f>
        <v>-2131</v>
      </c>
      <c r="H55" s="6">
        <f>'Jun'!F285</f>
        <v>120</v>
      </c>
      <c r="I55" s="6">
        <f>SUM(C55:H55)</f>
        <v>108654.84</v>
      </c>
    </row>
    <row r="56" spans="1:9" x14ac:dyDescent="0.25">
      <c r="A56" s="5" t="s">
        <v>462</v>
      </c>
      <c r="B56" s="5" t="s">
        <v>463</v>
      </c>
      <c r="C56" s="6">
        <f>'Jan'!F283</f>
        <v>13800</v>
      </c>
      <c r="D56" s="6">
        <f>'Fev'!F293</f>
        <v>6760</v>
      </c>
      <c r="E56" s="6">
        <f>'Mar'!F277</f>
        <v>5780</v>
      </c>
      <c r="F56" s="6">
        <f>'Abr'!F278</f>
        <v>7160</v>
      </c>
      <c r="G56" s="6">
        <f>'Mai'!F312</f>
        <v>2580</v>
      </c>
      <c r="H56" s="6">
        <f>'Jun'!F287</f>
        <v>3600</v>
      </c>
      <c r="I56" s="6">
        <f>SUM(C56:H56)</f>
        <v>39680</v>
      </c>
    </row>
    <row r="57" spans="1:9" x14ac:dyDescent="0.25">
      <c r="A57" s="5" t="s">
        <v>464</v>
      </c>
      <c r="B57" s="5" t="s">
        <v>465</v>
      </c>
      <c r="C57" s="6">
        <f>'Jan'!F287</f>
        <v>27890.01</v>
      </c>
      <c r="D57" s="6">
        <f>'Fev'!F297</f>
        <v>23711.09</v>
      </c>
      <c r="E57" s="6">
        <f>'Mar'!F280</f>
        <v>22350.95</v>
      </c>
      <c r="F57" s="6">
        <f>'Abr'!F281</f>
        <v>33307.14</v>
      </c>
      <c r="G57" s="6">
        <f>'Mai'!F317</f>
        <v>13889.39</v>
      </c>
      <c r="H57" s="6">
        <f>'Jun'!F289</f>
        <v>24241.2</v>
      </c>
      <c r="I57" s="6">
        <f>SUM(C57:H57)</f>
        <v>145389.78</v>
      </c>
    </row>
    <row r="58" spans="1:9" x14ac:dyDescent="0.25">
      <c r="A58" s="5" t="s">
        <v>466</v>
      </c>
      <c r="B58" s="5" t="s">
        <v>467</v>
      </c>
      <c r="C58" s="6">
        <v>0</v>
      </c>
      <c r="D58" s="6">
        <f>'Fev'!F299</f>
        <v>1000</v>
      </c>
      <c r="E58" s="6">
        <v>0</v>
      </c>
      <c r="F58" s="6">
        <v>0</v>
      </c>
      <c r="G58" s="6">
        <f>'Mai'!F320</f>
        <v>1500.01</v>
      </c>
      <c r="H58" s="6">
        <v>0</v>
      </c>
      <c r="I58" s="6">
        <f>SUM(C58:H58)</f>
        <v>2500.01</v>
      </c>
    </row>
    <row r="59" spans="1:9" x14ac:dyDescent="0.25">
      <c r="A59" s="5" t="s">
        <v>468</v>
      </c>
      <c r="B59" s="5" t="s">
        <v>469</v>
      </c>
      <c r="C59" s="6">
        <v>0</v>
      </c>
      <c r="D59" s="6">
        <v>0</v>
      </c>
      <c r="E59" s="6">
        <v>0</v>
      </c>
      <c r="F59" s="6">
        <f>'Abr'!F283</f>
        <v>45000</v>
      </c>
      <c r="G59" s="6">
        <v>0</v>
      </c>
      <c r="H59" s="6">
        <f>'Jun'!F294</f>
        <v>40686.62</v>
      </c>
      <c r="I59" s="6">
        <f>SUM(C59:H59)</f>
        <v>85686.62</v>
      </c>
    </row>
    <row r="60" spans="1:9" x14ac:dyDescent="0.25">
      <c r="A60" s="5" t="s">
        <v>470</v>
      </c>
      <c r="B60" s="5" t="s">
        <v>471</v>
      </c>
      <c r="C60" s="6">
        <f>'Jan'!F289</f>
        <v>3594</v>
      </c>
      <c r="D60" s="6">
        <v>0</v>
      </c>
      <c r="E60" s="6">
        <f>'Mar'!F282</f>
        <v>-1797</v>
      </c>
      <c r="F60" s="6">
        <v>0</v>
      </c>
      <c r="G60" s="6">
        <v>0</v>
      </c>
      <c r="H60" s="6">
        <f>'Jun'!F296</f>
        <v>1874</v>
      </c>
      <c r="I60" s="6">
        <f>SUM(C60:H60)</f>
        <v>3671</v>
      </c>
    </row>
    <row r="61" spans="1:9" x14ac:dyDescent="0.25">
      <c r="A61" s="5" t="s">
        <v>472</v>
      </c>
      <c r="B61" s="5" t="s">
        <v>473</v>
      </c>
      <c r="C61" s="6">
        <f>'Jan'!F292</f>
        <v>2397.11</v>
      </c>
      <c r="D61" s="6">
        <f>'Fev'!F301</f>
        <v>126.7</v>
      </c>
      <c r="E61" s="6">
        <f>'Mar'!F284</f>
        <v>1945</v>
      </c>
      <c r="F61" s="6">
        <f>'Abr'!F285</f>
        <v>5154.73</v>
      </c>
      <c r="G61" s="6">
        <f>'Mai'!F322</f>
        <v>35449.9</v>
      </c>
      <c r="H61" s="6">
        <f>'Jun'!F298</f>
        <v>6786.18</v>
      </c>
      <c r="I61" s="6">
        <f>SUM(C61:H61)</f>
        <v>51859.62</v>
      </c>
    </row>
    <row r="62" spans="1:9" x14ac:dyDescent="0.25">
      <c r="A62" s="5" t="s">
        <v>474</v>
      </c>
      <c r="B62" s="5" t="s">
        <v>475</v>
      </c>
      <c r="C62" s="6">
        <f>'Jan'!F296</f>
        <v>3431.15</v>
      </c>
      <c r="D62" s="6">
        <f>'Fev'!F304</f>
        <v>4484.09</v>
      </c>
      <c r="E62" s="6">
        <f>'Mar'!F287</f>
        <v>534</v>
      </c>
      <c r="F62" s="6">
        <f>'Abr'!F287</f>
        <v>171.84</v>
      </c>
      <c r="G62" s="6">
        <f>'Mai'!F325</f>
        <v>1940.65</v>
      </c>
      <c r="H62" s="6">
        <f>'Jun'!F307</f>
        <v>1109.01</v>
      </c>
      <c r="I62" s="6">
        <f>SUM(C62:H62)</f>
        <v>11670.74</v>
      </c>
    </row>
    <row r="63" spans="1:9" x14ac:dyDescent="0.25">
      <c r="A63" s="5" t="s">
        <v>476</v>
      </c>
      <c r="B63" s="5" t="s">
        <v>477</v>
      </c>
      <c r="C63" s="6">
        <v>0</v>
      </c>
      <c r="D63" s="6">
        <f>'Fev'!F310</f>
        <v>1937.8</v>
      </c>
      <c r="E63" s="6">
        <f>'Mar'!F289</f>
        <v>1555.45</v>
      </c>
      <c r="F63" s="6">
        <v>0</v>
      </c>
      <c r="G63" s="6">
        <f>'Mai'!F331</f>
        <v>0</v>
      </c>
      <c r="H63" s="6">
        <v>0</v>
      </c>
      <c r="I63" s="6">
        <f>SUM(C63:H63)</f>
        <v>3493.25</v>
      </c>
    </row>
    <row r="64" spans="1:9" x14ac:dyDescent="0.25">
      <c r="A64" s="5" t="s">
        <v>478</v>
      </c>
      <c r="B64" s="5" t="s">
        <v>477</v>
      </c>
      <c r="C64" s="6">
        <v>0</v>
      </c>
      <c r="D64" s="6">
        <v>0</v>
      </c>
      <c r="E64" s="6">
        <v>0</v>
      </c>
      <c r="F64" s="6">
        <v>0</v>
      </c>
      <c r="G64" s="6">
        <f>'Mai'!F333</f>
        <v>0</v>
      </c>
      <c r="H64" s="6">
        <v>0</v>
      </c>
      <c r="I64" s="6">
        <f>SUM(C64:H64)</f>
        <v>0</v>
      </c>
    </row>
    <row r="65" spans="1:9" x14ac:dyDescent="0.25">
      <c r="A65" s="5" t="s">
        <v>479</v>
      </c>
      <c r="B65" s="5" t="s">
        <v>480</v>
      </c>
      <c r="C65" s="6">
        <f>'Jan'!F304</f>
        <v>32104.1</v>
      </c>
      <c r="D65" s="6">
        <f>'Fev'!F312</f>
        <v>142570.77</v>
      </c>
      <c r="E65" s="6">
        <f>'Mar'!F291</f>
        <v>4598.61</v>
      </c>
      <c r="F65" s="6">
        <f>'Abr'!F289</f>
        <v>2769.1</v>
      </c>
      <c r="G65" s="6">
        <v>0</v>
      </c>
      <c r="H65" s="6">
        <v>0</v>
      </c>
      <c r="I65" s="6">
        <f>SUM(C65:H65)</f>
        <v>182042.58</v>
      </c>
    </row>
    <row r="66" spans="1:9" x14ac:dyDescent="0.25">
      <c r="A66" s="5" t="s">
        <v>481</v>
      </c>
      <c r="B66" s="5" t="s">
        <v>482</v>
      </c>
      <c r="C66" s="6">
        <f>'Jan'!F308</f>
        <v>2925.67</v>
      </c>
      <c r="D66" s="6">
        <v>0</v>
      </c>
      <c r="E66" s="6">
        <f>'Mar'!F295</f>
        <v>474.4</v>
      </c>
      <c r="F66" s="6">
        <v>0</v>
      </c>
      <c r="G66" s="6">
        <f>'Mai'!F342</f>
        <v>2493.74</v>
      </c>
      <c r="H66" s="6">
        <v>0</v>
      </c>
      <c r="I66" s="6">
        <f>SUM(C66:H66)</f>
        <v>5893.81</v>
      </c>
    </row>
    <row r="67" spans="1:9" x14ac:dyDescent="0.25">
      <c r="A67" s="5" t="s">
        <v>483</v>
      </c>
      <c r="B67" s="5" t="s">
        <v>482</v>
      </c>
      <c r="C67" s="6">
        <v>0</v>
      </c>
      <c r="D67" s="6">
        <v>0</v>
      </c>
      <c r="E67" s="6">
        <v>0</v>
      </c>
      <c r="F67" s="6">
        <f>'Abr'!F291</f>
        <v>1570.59</v>
      </c>
      <c r="G67" s="6">
        <v>0</v>
      </c>
      <c r="H67" s="6">
        <v>0</v>
      </c>
      <c r="I67" s="6">
        <f>SUM(C67:H67)</f>
        <v>1570.59</v>
      </c>
    </row>
    <row r="68" spans="1:9" x14ac:dyDescent="0.25">
      <c r="A68" s="13" t="s">
        <v>3</v>
      </c>
      <c r="B68" s="13" t="s">
        <v>484</v>
      </c>
      <c r="C68" s="14">
        <f>SUM(C6,C7,C8,C9,C10)</f>
        <v>1628450.1</v>
      </c>
      <c r="D68" s="14">
        <f>SUM(D6,D7,D8,D9,D10)</f>
        <v>1044541.67</v>
      </c>
      <c r="E68" s="14">
        <f>SUM(E6,E7,E8,E9,E10)</f>
        <v>1206209.79</v>
      </c>
      <c r="F68" s="14">
        <f>SUM(F6,F7,F8,F9,F10)</f>
        <v>1228156.33</v>
      </c>
      <c r="G68" s="14">
        <f>SUM(G6,G7,G8,G9,G10)</f>
        <v>1311911.78</v>
      </c>
      <c r="H68" s="14">
        <f>SUM(H6,H7,H8,H9,H10)</f>
        <v>1472973.61</v>
      </c>
      <c r="I68" s="14">
        <f>SUM(C68:H68)</f>
        <v>7892243.28</v>
      </c>
    </row>
    <row r="69" spans="1:9" x14ac:dyDescent="0.25">
      <c r="A69" s="13" t="s">
        <v>3</v>
      </c>
      <c r="B69" s="13" t="s">
        <v>485</v>
      </c>
      <c r="C69" s="14">
        <f>SUM(C11,C12,C13,C14,C15,C16,C17,C18,C19,C20,C21,C22,C23,C24,C25,C26,C27,C28,C29,C30,C31,C32,C33,C34,C35,C36,C37,C38,C39,C40,C41,C42,C43,C44,C45,C46,C47,C48,C49,C50,C51,C52,C53,C54,C55,C56,C57,C58,C59,C60,C61,C62,C63,C64,C65,C66,C67)</f>
        <v>2477385.62</v>
      </c>
      <c r="D69" s="14">
        <f>SUM(D11,D12,D13,D14,D15,D16,D17,D18,D19,D20,D21,D22,D23,D24,D25,D26,D27,D28,D29,D30,D31,D32,D33,D34,D35,D36,D37,D38,D39,D40,D41,D42,D43,D44,D45,D46,D47,D48,D49,D50,D51,D52,D53,D54,D55,D56,D57,D58,D59,D60,D61,D62,D63,D64,D65,D66,D67)</f>
        <v>2061642.5</v>
      </c>
      <c r="E69" s="14">
        <f>SUM(E11,E12,E13,E14,E15,E16,E17,E18,E19,E20,E21,E22,E23,E24,E25,E26,E27,E28,E29,E30,E31,E32,E33,E34,E35,E36,E37,E38,E39,E40,E41,E42,E43,E44,E45,E46,E47,E48,E49,E50,E51,E52,E53,E54,E55,E56,E57,E58,E59,E60,E61,E62,E63,E64,E65,E66,E67)</f>
        <v>2209911.27</v>
      </c>
      <c r="F69" s="14">
        <f>SUM(F11,F12,F13,F14,F15,F16,F17,F18,F19,F20,F21,F22,F23,F24,F25,F26,F27,F28,F29,F30,F31,F32,F33,F34,F35,F36,F37,F38,F39,F40,F41,F42,F43,F44,F45,F46,F47,F48,F49,F50,F51,F52,F53,F54,F55,F56,F57,F58,F59,F60,F61,F62,F63,F64,F65,F66,F67)</f>
        <v>2503939.6</v>
      </c>
      <c r="G69" s="14">
        <f>SUM(G11,G12,G13,G14,G15,G16,G17,G18,G19,G20,G21,G22,G23,G24,G25,G26,G27,G28,G29,G30,G31,G32,G33,G34,G35,G36,G37,G38,G39,G40,G41,G42,G43,G44,G45,G46,G47,G48,G49,G50,G51,G52,G53,G54,G55,G56,G57,G58,G59,G60,G61,G62,G63,G64,G65,G66,G67)</f>
        <v>3003204.93</v>
      </c>
      <c r="H69" s="14">
        <f>SUM(H11,H12,H13,H14,H15,H16,H17,H18,H19,H20,H21,H22,H23,H24,H25,H26,H27,H28,H29,H30,H31,H32,H33,H34,H35,H36,H37,H38,H39,H40,H41,H42,H43,H44,H45,H46,H47,H48,H49,H50,H51,H52,H53,H54,H55,H56,H57,H58,H59,H60,H61,H62,H63,H64,H65,H66,H67)</f>
        <v>3113442.55</v>
      </c>
      <c r="I69" s="14">
        <f>SUM(C69:H69)</f>
        <v>15369526.47</v>
      </c>
    </row>
    <row r="70" spans="1:9" x14ac:dyDescent="0.25">
      <c r="A70" s="19" t="s">
        <v>3</v>
      </c>
      <c r="B70" s="19" t="s">
        <v>486</v>
      </c>
      <c r="C70" s="20">
        <f>C68+C69</f>
        <v>4105835.72</v>
      </c>
      <c r="D70" s="20">
        <f>D68+D69</f>
        <v>3106184.17</v>
      </c>
      <c r="E70" s="20">
        <f>E68+E69</f>
        <v>3416121.06</v>
      </c>
      <c r="F70" s="20">
        <f>F68+F69</f>
        <v>3732095.93</v>
      </c>
      <c r="G70" s="20">
        <f>G68+G69</f>
        <v>4315116.71</v>
      </c>
      <c r="H70" s="20">
        <f>H68+H69</f>
        <v>4586416.16</v>
      </c>
      <c r="I70" s="20">
        <f>SUM(C70:H70)</f>
        <v>23261769.75</v>
      </c>
    </row>
    <row r="71" spans="1:9" x14ac:dyDescent="0.25">
      <c r="A71" s="5" t="s">
        <v>3</v>
      </c>
      <c r="B71" s="5" t="s">
        <v>487</v>
      </c>
      <c r="C71" s="6">
        <v>1021126.43</v>
      </c>
      <c r="D71" s="6">
        <v>1037755.6</v>
      </c>
      <c r="E71" s="6">
        <v>1158496.62</v>
      </c>
      <c r="F71" s="6">
        <v>1231075.88</v>
      </c>
      <c r="G71" s="6">
        <v>1323802.11</v>
      </c>
      <c r="H71" s="6">
        <v>1473722.28</v>
      </c>
      <c r="I71" s="6">
        <f>SUM(C71:H71)</f>
        <v>7245978.92</v>
      </c>
    </row>
    <row r="72" spans="1:9" x14ac:dyDescent="0.25">
      <c r="A72" s="5" t="s">
        <v>3</v>
      </c>
      <c r="B72" s="5" t="s">
        <v>488</v>
      </c>
      <c r="C72" s="6">
        <v>2029394.85</v>
      </c>
      <c r="D72" s="6">
        <v>1891722.32</v>
      </c>
      <c r="E72" s="6">
        <v>2172723.59</v>
      </c>
      <c r="F72" s="6">
        <v>2485367.09</v>
      </c>
      <c r="G72" s="6">
        <v>3050632.3</v>
      </c>
      <c r="H72" s="6">
        <v>3065504.4</v>
      </c>
      <c r="I72" s="6">
        <f>SUM(C72:H72)</f>
        <v>14695344.55</v>
      </c>
    </row>
    <row r="73" spans="1:9" x14ac:dyDescent="0.25">
      <c r="A73" s="11" t="s">
        <v>3</v>
      </c>
      <c r="B73" s="11" t="s">
        <v>489</v>
      </c>
      <c r="C73" s="26">
        <f>C68-C71</f>
        <v>607323.67</v>
      </c>
      <c r="D73" s="26">
        <f>D68-D71</f>
        <v>6786.07</v>
      </c>
      <c r="E73" s="26">
        <f>E68-E71</f>
        <v>47713.17</v>
      </c>
      <c r="F73" s="26">
        <f>F68-F71</f>
        <v>-2919.55</v>
      </c>
      <c r="G73" s="26">
        <f>G68-G71</f>
        <v>-11890.33</v>
      </c>
      <c r="H73" s="26">
        <f>H68-H71</f>
        <v>-748.67</v>
      </c>
      <c r="I73" s="26">
        <f>SUM(C73:H73)</f>
        <v>646264.36</v>
      </c>
    </row>
    <row r="74" spans="1:9" x14ac:dyDescent="0.25">
      <c r="A74" s="11" t="s">
        <v>3</v>
      </c>
      <c r="B74" s="11" t="s">
        <v>490</v>
      </c>
      <c r="C74" s="26">
        <f>C69-C72</f>
        <v>447990.77</v>
      </c>
      <c r="D74" s="26">
        <f>D69-D72</f>
        <v>169920.18</v>
      </c>
      <c r="E74" s="26">
        <f>E69-E72</f>
        <v>37187.68</v>
      </c>
      <c r="F74" s="26">
        <f>F69-F72</f>
        <v>18572.51</v>
      </c>
      <c r="G74" s="26">
        <f>G69-G72</f>
        <v>-47427.37</v>
      </c>
      <c r="H74" s="26">
        <f>H69-H72</f>
        <v>47938.15</v>
      </c>
      <c r="I74" s="26">
        <f>SUM(C74:H74)</f>
        <v>674181.92</v>
      </c>
    </row>
    <row r="76" ht="22" customHeight="1" spans="1:9" x14ac:dyDescent="0.25">
      <c r="A76" s="3" t="s">
        <v>491</v>
      </c>
      <c r="B76" s="3"/>
      <c r="C76" s="3"/>
      <c r="D76" s="3"/>
      <c r="E76" s="3"/>
      <c r="F76" s="3"/>
      <c r="G76" s="3"/>
      <c r="H76" s="3"/>
      <c r="I76" s="3"/>
    </row>
    <row r="77" ht="30" customHeight="1" spans="1:9" x14ac:dyDescent="0.25">
      <c r="A77" s="4" t="s">
        <v>360</v>
      </c>
      <c r="B77" s="4" t="s">
        <v>361</v>
      </c>
      <c r="C77" s="4" t="s">
        <v>4</v>
      </c>
      <c r="D77" s="4" t="s">
        <v>5</v>
      </c>
      <c r="E77" s="4" t="s">
        <v>6</v>
      </c>
      <c r="F77" s="4" t="s">
        <v>7</v>
      </c>
      <c r="G77" s="4" t="s">
        <v>8</v>
      </c>
      <c r="H77" s="4" t="s">
        <v>9</v>
      </c>
      <c r="I77" s="4" t="s">
        <v>10</v>
      </c>
    </row>
    <row r="78" spans="1:9" x14ac:dyDescent="0.25">
      <c r="A78" s="5" t="s">
        <v>362</v>
      </c>
      <c r="B78" s="5" t="s">
        <v>363</v>
      </c>
      <c r="C78" s="6">
        <f>'Jan'!E5</f>
        <v>-7963</v>
      </c>
      <c r="D78" s="6">
        <f>'Fev'!E5</f>
        <v>139118.28</v>
      </c>
      <c r="E78" s="6">
        <f>'Mar'!E5</f>
        <v>99280</v>
      </c>
      <c r="F78" s="6">
        <f>'Abr'!E5</f>
        <v>144000</v>
      </c>
      <c r="G78" s="6">
        <f>'Mai'!E5</f>
        <v>93476.06</v>
      </c>
      <c r="H78" s="6">
        <f>'Jun'!E5</f>
        <v>134097.74</v>
      </c>
      <c r="I78" s="6">
        <f>SUM(C78:H78)</f>
        <v>602009.08</v>
      </c>
    </row>
    <row r="79" spans="1:9" x14ac:dyDescent="0.25">
      <c r="A79" s="5" t="s">
        <v>364</v>
      </c>
      <c r="B79" s="5" t="s">
        <v>365</v>
      </c>
      <c r="C79" s="6">
        <f>'Jan'!E37</f>
        <v>60195.75</v>
      </c>
      <c r="D79" s="6">
        <f>'Fev'!E34</f>
        <v>55287.77</v>
      </c>
      <c r="E79" s="6">
        <f>'Mar'!E36</f>
        <v>65259.88</v>
      </c>
      <c r="F79" s="6">
        <f>'Abr'!E35</f>
        <v>64434.06</v>
      </c>
      <c r="G79" s="6">
        <f>'Mai'!E41</f>
        <v>59487.01</v>
      </c>
      <c r="H79" s="6">
        <f>'Jun'!E42</f>
        <v>57078.91</v>
      </c>
      <c r="I79" s="6">
        <f>SUM(C79:H79)</f>
        <v>361743.38</v>
      </c>
    </row>
    <row r="80" spans="1:9" x14ac:dyDescent="0.25">
      <c r="A80" s="5" t="s">
        <v>366</v>
      </c>
      <c r="B80" s="5" t="s">
        <v>367</v>
      </c>
      <c r="C80" s="6">
        <f>'Jan'!E39</f>
        <v>98168.68</v>
      </c>
      <c r="D80" s="6">
        <f>'Fev'!E36</f>
        <v>-7281.44</v>
      </c>
      <c r="E80" s="6">
        <f>'Mar'!E38</f>
        <v>19109.2</v>
      </c>
      <c r="F80" s="6">
        <f>'Abr'!E37</f>
        <v>-1303.57</v>
      </c>
      <c r="G80" s="6">
        <f>'Mai'!E43</f>
        <v>9412.35</v>
      </c>
      <c r="H80" s="6">
        <f>'Jun'!E44</f>
        <v>38558.37</v>
      </c>
      <c r="I80" s="6">
        <f>SUM(C80:H80)</f>
        <v>156663.59</v>
      </c>
    </row>
    <row r="81" spans="1:9" x14ac:dyDescent="0.25">
      <c r="A81" s="5" t="s">
        <v>368</v>
      </c>
      <c r="B81" s="5" t="s">
        <v>369</v>
      </c>
      <c r="C81" s="6">
        <f>'Jan'!E45</f>
        <v>0</v>
      </c>
      <c r="D81" s="6">
        <f>'Fev'!E41</f>
        <v>0</v>
      </c>
      <c r="E81" s="6">
        <f>'Mar'!E43</f>
        <v>4782.25</v>
      </c>
      <c r="F81" s="6">
        <f>'Abr'!E41</f>
        <v>0</v>
      </c>
      <c r="G81" s="6">
        <f>'Mai'!E50</f>
        <v>-4782.25</v>
      </c>
      <c r="H81" s="6">
        <f>'Jun'!E53</f>
        <v>0</v>
      </c>
      <c r="I81" s="6">
        <f>SUM(C81:H81)</f>
        <v>0</v>
      </c>
    </row>
    <row r="82" spans="1:9" x14ac:dyDescent="0.25">
      <c r="A82" s="5" t="s">
        <v>370</v>
      </c>
      <c r="B82" s="5" t="s">
        <v>371</v>
      </c>
      <c r="C82" s="6">
        <f>'Jan'!E71</f>
        <v>0</v>
      </c>
      <c r="D82" s="6">
        <f>'Fev'!E60</f>
        <v>55567.78</v>
      </c>
      <c r="E82" s="6">
        <f>'Mar'!E62</f>
        <v>98413.21</v>
      </c>
      <c r="F82" s="6">
        <f>'Abr'!E65</f>
        <v>-36121.05</v>
      </c>
      <c r="G82" s="6">
        <f>'Mai'!E72</f>
        <v>375211.11</v>
      </c>
      <c r="H82" s="6">
        <f>'Jun'!E78</f>
        <v>3905.02</v>
      </c>
      <c r="I82" s="6">
        <f>SUM(C82:H82)</f>
        <v>496976.07</v>
      </c>
    </row>
    <row r="83" spans="1:9" x14ac:dyDescent="0.25">
      <c r="A83" s="5" t="s">
        <v>382</v>
      </c>
      <c r="B83" s="5" t="s">
        <v>383</v>
      </c>
      <c r="C83" s="6">
        <f>'Jan'!E94</f>
        <v>38961.8</v>
      </c>
      <c r="D83" s="6">
        <f>'Fev'!E79</f>
        <v>10001</v>
      </c>
      <c r="E83" s="6">
        <f>'Mar'!E83</f>
        <v>-3118.84</v>
      </c>
      <c r="F83" s="6">
        <f>'Abr'!E85</f>
        <v>0</v>
      </c>
      <c r="G83" s="6">
        <f>'Mai'!E100</f>
        <v>-171559.53</v>
      </c>
      <c r="H83" s="6">
        <f>'Jun'!E103</f>
        <v>57416.63</v>
      </c>
      <c r="I83" s="6">
        <f>SUM(C83:H83)</f>
        <v>-68298.94</v>
      </c>
    </row>
    <row r="84" spans="1:9" x14ac:dyDescent="0.25">
      <c r="A84" s="5" t="s">
        <v>392</v>
      </c>
      <c r="B84" s="5" t="s">
        <v>393</v>
      </c>
      <c r="C84" s="6">
        <f>'Jan'!E136</f>
        <v>0</v>
      </c>
      <c r="D84" s="6">
        <f>'Fev'!E116</f>
        <v>3658.58</v>
      </c>
      <c r="E84" s="6">
        <f>'Mar'!E118</f>
        <v>0</v>
      </c>
      <c r="F84" s="6">
        <f>'Abr'!E128</f>
        <v>-3658.58</v>
      </c>
      <c r="G84" s="6">
        <f>'Mai'!E152</f>
        <v>0</v>
      </c>
      <c r="H84" s="6">
        <f>'Jun'!E142</f>
        <v>0</v>
      </c>
      <c r="I84" s="6">
        <f>SUM(C84:H84)</f>
        <v>0</v>
      </c>
    </row>
    <row r="85" spans="1:9" x14ac:dyDescent="0.25">
      <c r="A85" s="5" t="s">
        <v>418</v>
      </c>
      <c r="B85" s="5" t="s">
        <v>419</v>
      </c>
      <c r="C85" s="6">
        <v>0</v>
      </c>
      <c r="D85" s="6">
        <f>'Fev'!E170</f>
        <v>-144317.28</v>
      </c>
      <c r="E85" s="6">
        <v>0</v>
      </c>
      <c r="F85" s="6">
        <v>0</v>
      </c>
      <c r="G85" s="6">
        <f>'Mai'!E194</f>
        <v>0</v>
      </c>
      <c r="H85" s="6">
        <v>0</v>
      </c>
      <c r="I85" s="6">
        <f>SUM(C85:H85)</f>
        <v>-144317.28</v>
      </c>
    </row>
    <row r="86" spans="1:9" x14ac:dyDescent="0.25">
      <c r="A86" s="5" t="s">
        <v>430</v>
      </c>
      <c r="B86" s="5" t="s">
        <v>431</v>
      </c>
      <c r="C86" s="6">
        <f>'Jan'!E188</f>
        <v>-6285.36</v>
      </c>
      <c r="D86" s="6">
        <f>'Fev'!E219</f>
        <v>-45000</v>
      </c>
      <c r="E86" s="6">
        <f>'Mar'!E169</f>
        <v>-1600</v>
      </c>
      <c r="F86" s="6">
        <f>'Abr'!E185</f>
        <v>0</v>
      </c>
      <c r="G86" s="6">
        <f>'Mai'!E207</f>
        <v>0</v>
      </c>
      <c r="H86" s="6">
        <f>'Jun'!E197</f>
        <v>0</v>
      </c>
      <c r="I86" s="6">
        <f>SUM(C86:H86)</f>
        <v>-52885.36</v>
      </c>
    </row>
    <row r="87" spans="1:9" x14ac:dyDescent="0.25">
      <c r="A87" s="5" t="s">
        <v>432</v>
      </c>
      <c r="B87" s="5" t="s">
        <v>433</v>
      </c>
      <c r="C87" s="6">
        <f>'Jan'!E199</f>
        <v>0</v>
      </c>
      <c r="D87" s="6">
        <v>0</v>
      </c>
      <c r="E87" s="6">
        <f>'Mar'!E182</f>
        <v>49131.91</v>
      </c>
      <c r="F87" s="6">
        <v>0</v>
      </c>
      <c r="G87" s="6">
        <v>0</v>
      </c>
      <c r="H87" s="6">
        <v>0</v>
      </c>
      <c r="I87" s="6">
        <f>SUM(C87:H87)</f>
        <v>49131.91</v>
      </c>
    </row>
    <row r="88" spans="1:9" x14ac:dyDescent="0.25">
      <c r="A88" s="5" t="s">
        <v>452</v>
      </c>
      <c r="B88" s="5" t="s">
        <v>453</v>
      </c>
      <c r="C88" s="6">
        <f>'Jan'!E207</f>
        <v>0</v>
      </c>
      <c r="D88" s="6">
        <f>'Fev'!E237</f>
        <v>-20368.78</v>
      </c>
      <c r="E88" s="6">
        <f>'Mar'!E194</f>
        <v>-22501.95</v>
      </c>
      <c r="F88" s="6">
        <f>'Abr'!E209</f>
        <v>-39790.21</v>
      </c>
      <c r="G88" s="6">
        <f>'Mai'!E229</f>
        <v>0</v>
      </c>
      <c r="H88" s="6">
        <v>0</v>
      </c>
      <c r="I88" s="6">
        <f>SUM(C88:H88)</f>
        <v>-82660.94</v>
      </c>
    </row>
    <row r="89" spans="1:9" x14ac:dyDescent="0.25">
      <c r="A89" s="5" t="s">
        <v>454</v>
      </c>
      <c r="B89" s="5" t="s">
        <v>455</v>
      </c>
      <c r="C89" s="6">
        <f>'Jan'!E211</f>
        <v>0</v>
      </c>
      <c r="D89" s="6">
        <f>'Fev'!E240</f>
        <v>0</v>
      </c>
      <c r="E89" s="6">
        <f>'Mar'!E197</f>
        <v>0</v>
      </c>
      <c r="F89" s="6">
        <f>'Abr'!E213</f>
        <v>0</v>
      </c>
      <c r="G89" s="6">
        <f>'Mai'!E232</f>
        <v>-573.4</v>
      </c>
      <c r="H89" s="6">
        <f>'Jun'!E216</f>
        <v>0</v>
      </c>
      <c r="I89" s="6">
        <f>SUM(C89:H89)</f>
        <v>-573.4</v>
      </c>
    </row>
    <row r="90" spans="1:9" x14ac:dyDescent="0.25">
      <c r="A90" s="5" t="s">
        <v>458</v>
      </c>
      <c r="B90" s="5" t="s">
        <v>459</v>
      </c>
      <c r="C90" s="6">
        <f>'Jan'!E217</f>
        <v>-8000</v>
      </c>
      <c r="D90" s="6">
        <f>'Fev'!E248</f>
        <v>-30000</v>
      </c>
      <c r="E90" s="6">
        <f>'Mar'!E206</f>
        <v>-60804.94</v>
      </c>
      <c r="F90" s="6">
        <f>'Abr'!E219</f>
        <v>-192722</v>
      </c>
      <c r="G90" s="6">
        <f>'Mai'!E237</f>
        <v>-80267.21</v>
      </c>
      <c r="H90" s="6">
        <f>'Jun'!E222</f>
        <v>-107130</v>
      </c>
      <c r="I90" s="6">
        <f>SUM(C90:H90)</f>
        <v>-478924.15</v>
      </c>
    </row>
    <row r="91" spans="1:9" x14ac:dyDescent="0.25">
      <c r="A91" s="5" t="s">
        <v>464</v>
      </c>
      <c r="B91" s="5" t="s">
        <v>465</v>
      </c>
      <c r="C91" s="6">
        <f>'Jan'!E287</f>
        <v>0</v>
      </c>
      <c r="D91" s="6">
        <f>'Fev'!E297</f>
        <v>23711.09</v>
      </c>
      <c r="E91" s="6">
        <f>'Mar'!E280</f>
        <v>0</v>
      </c>
      <c r="F91" s="6">
        <f>'Abr'!E281</f>
        <v>0</v>
      </c>
      <c r="G91" s="6">
        <f>'Mai'!E317</f>
        <v>0</v>
      </c>
      <c r="H91" s="6">
        <f>'Jun'!E289</f>
        <v>0</v>
      </c>
      <c r="I91" s="6">
        <f>SUM(C91:H91)</f>
        <v>23711.09</v>
      </c>
    </row>
    <row r="92" spans="1:9" x14ac:dyDescent="0.25">
      <c r="A92" s="5" t="s">
        <v>468</v>
      </c>
      <c r="B92" s="5" t="s">
        <v>469</v>
      </c>
      <c r="C92" s="6">
        <v>0</v>
      </c>
      <c r="D92" s="6">
        <v>0</v>
      </c>
      <c r="E92" s="6">
        <v>0</v>
      </c>
      <c r="F92" s="6">
        <f>'Abr'!E283</f>
        <v>0</v>
      </c>
      <c r="G92" s="6">
        <v>0</v>
      </c>
      <c r="H92" s="6">
        <f>'Jun'!E294</f>
        <v>40686.62</v>
      </c>
      <c r="I92" s="6">
        <f>SUM(C92:H92)</f>
        <v>40686.62</v>
      </c>
    </row>
    <row r="93" spans="1:9" x14ac:dyDescent="0.25">
      <c r="A93" s="5" t="s">
        <v>470</v>
      </c>
      <c r="B93" s="5" t="s">
        <v>471</v>
      </c>
      <c r="C93" s="6">
        <f>'Jan'!E289</f>
        <v>0</v>
      </c>
      <c r="D93" s="6">
        <v>0</v>
      </c>
      <c r="E93" s="6">
        <f>'Mar'!E282</f>
        <v>-1797</v>
      </c>
      <c r="F93" s="6">
        <v>0</v>
      </c>
      <c r="G93" s="6">
        <v>0</v>
      </c>
      <c r="H93" s="6">
        <f>'Jun'!E296</f>
        <v>0</v>
      </c>
      <c r="I93" s="6">
        <f>SUM(C93:H93)</f>
        <v>-1797</v>
      </c>
    </row>
    <row r="94" spans="1:9" x14ac:dyDescent="0.25">
      <c r="A94" s="5" t="s">
        <v>472</v>
      </c>
      <c r="B94" s="5" t="s">
        <v>473</v>
      </c>
      <c r="C94" s="6">
        <f>'Jan'!E292</f>
        <v>0</v>
      </c>
      <c r="D94" s="6">
        <f>'Fev'!E301</f>
        <v>-1467.02</v>
      </c>
      <c r="E94" s="6">
        <f>'Mar'!E284</f>
        <v>0</v>
      </c>
      <c r="F94" s="6">
        <f>'Abr'!E285</f>
        <v>0</v>
      </c>
      <c r="G94" s="6">
        <f>'Mai'!E322</f>
        <v>0</v>
      </c>
      <c r="H94" s="6">
        <f>'Jun'!E298</f>
        <v>0</v>
      </c>
      <c r="I94" s="6">
        <f>SUM(C94:H94)</f>
        <v>-1467.02</v>
      </c>
    </row>
    <row r="95" spans="1:9" x14ac:dyDescent="0.25">
      <c r="A95" s="5" t="s">
        <v>474</v>
      </c>
      <c r="B95" s="5" t="s">
        <v>475</v>
      </c>
      <c r="C95" s="6">
        <f>'Jan'!E296</f>
        <v>-267</v>
      </c>
      <c r="D95" s="6">
        <f>'Fev'!E304</f>
        <v>-40000</v>
      </c>
      <c r="E95" s="6">
        <f>'Mar'!E287</f>
        <v>0</v>
      </c>
      <c r="F95" s="6">
        <f>'Abr'!E287</f>
        <v>0</v>
      </c>
      <c r="G95" s="6">
        <f>'Mai'!E325</f>
        <v>0</v>
      </c>
      <c r="H95" s="6">
        <f>'Jun'!E307</f>
        <v>0</v>
      </c>
      <c r="I95" s="6">
        <f>SUM(C95:H95)</f>
        <v>-40267</v>
      </c>
    </row>
    <row r="96" spans="1:9" x14ac:dyDescent="0.25">
      <c r="A96" s="5" t="s">
        <v>476</v>
      </c>
      <c r="B96" s="5" t="s">
        <v>477</v>
      </c>
      <c r="C96" s="6">
        <v>0</v>
      </c>
      <c r="D96" s="6">
        <f>'Fev'!E310</f>
        <v>0</v>
      </c>
      <c r="E96" s="6">
        <f>'Mar'!E289</f>
        <v>0</v>
      </c>
      <c r="F96" s="6">
        <v>0</v>
      </c>
      <c r="G96" s="6">
        <f>'Mai'!E331</f>
        <v>-336.78</v>
      </c>
      <c r="H96" s="6">
        <v>0</v>
      </c>
      <c r="I96" s="6">
        <f>SUM(C96:H96)</f>
        <v>-336.78</v>
      </c>
    </row>
    <row r="97" spans="1:9" x14ac:dyDescent="0.25">
      <c r="A97" s="5" t="s">
        <v>478</v>
      </c>
      <c r="B97" s="5" t="s">
        <v>477</v>
      </c>
      <c r="C97" s="6">
        <v>0</v>
      </c>
      <c r="D97" s="6">
        <v>0</v>
      </c>
      <c r="E97" s="6">
        <v>0</v>
      </c>
      <c r="F97" s="6">
        <v>0</v>
      </c>
      <c r="G97" s="6">
        <f>'Mai'!E333</f>
        <v>-17434.34</v>
      </c>
      <c r="H97" s="6">
        <v>0</v>
      </c>
      <c r="I97" s="6">
        <f>SUM(C97:H97)</f>
        <v>-17434.34</v>
      </c>
    </row>
    <row r="98" spans="1:9" x14ac:dyDescent="0.25">
      <c r="A98" s="13" t="s">
        <v>3</v>
      </c>
      <c r="B98" s="13" t="s">
        <v>484</v>
      </c>
      <c r="C98" s="14">
        <f>SUM(C78,C79,C80,C81,C82)</f>
        <v>150401.43</v>
      </c>
      <c r="D98" s="14">
        <f>SUM(D78,D79,D80,D81,D82)</f>
        <v>242692.39</v>
      </c>
      <c r="E98" s="14">
        <f>SUM(E78,E79,E80,E81,E82)</f>
        <v>286844.54</v>
      </c>
      <c r="F98" s="14">
        <f>SUM(F78,F79,F80,F81,F82)</f>
        <v>171009.44</v>
      </c>
      <c r="G98" s="14">
        <f>SUM(G78,G79,G80,G81,G82)</f>
        <v>532804.28</v>
      </c>
      <c r="H98" s="14">
        <f>SUM(H78,H79,H80,H81,H82)</f>
        <v>233640.04</v>
      </c>
      <c r="I98" s="14">
        <f>SUM(C98:H98)</f>
        <v>1617392.12</v>
      </c>
    </row>
    <row r="99" spans="1:9" x14ac:dyDescent="0.25">
      <c r="A99" s="13" t="s">
        <v>3</v>
      </c>
      <c r="B99" s="13" t="s">
        <v>485</v>
      </c>
      <c r="C99" s="14">
        <f>SUM(C83,C84,C85,C86,C87,C88,C89,C90,C91,C92,C93,C94,C95,C96,C97)</f>
        <v>24409.44</v>
      </c>
      <c r="D99" s="14">
        <f>SUM(D83,D84,D85,D86,D87,D88,D89,D90,D91,D92,D93,D94,D95,D96,D97)</f>
        <v>-243782.41</v>
      </c>
      <c r="E99" s="14">
        <f>SUM(E83,E84,E85,E86,E87,E88,E89,E90,E91,E92,E93,E94,E95,E96,E97)</f>
        <v>-40690.82</v>
      </c>
      <c r="F99" s="14">
        <f>SUM(F83,F84,F85,F86,F87,F88,F89,F90,F91,F92,F93,F94,F95,F96,F97)</f>
        <v>-236170.79</v>
      </c>
      <c r="G99" s="14">
        <f>SUM(G83,G84,G85,G86,G87,G88,G89,G90,G91,G92,G93,G94,G95,G96,G97)</f>
        <v>-270171.26</v>
      </c>
      <c r="H99" s="14">
        <f>SUM(H83,H84,H85,H86,H87,H88,H89,H90,H91,H92,H93,H94,H95,H96,H97)</f>
        <v>-9026.75</v>
      </c>
      <c r="I99" s="14">
        <f>SUM(C99:H99)</f>
        <v>-775432.59</v>
      </c>
    </row>
    <row r="100" spans="1:9" x14ac:dyDescent="0.25">
      <c r="A100" s="19" t="s">
        <v>3</v>
      </c>
      <c r="B100" s="19" t="s">
        <v>486</v>
      </c>
      <c r="C100" s="20">
        <f>C98+C99</f>
        <v>174810.87</v>
      </c>
      <c r="D100" s="20">
        <f>D98+D99</f>
        <v>-1090.02</v>
      </c>
      <c r="E100" s="20">
        <f>E98+E99</f>
        <v>246153.72</v>
      </c>
      <c r="F100" s="20">
        <f>F98+F99</f>
        <v>-65161.35</v>
      </c>
      <c r="G100" s="20">
        <f>G98+G99</f>
        <v>262633.02</v>
      </c>
      <c r="H100" s="20">
        <f>H98+H99</f>
        <v>224613.29</v>
      </c>
      <c r="I100" s="20">
        <f>SUM(C100:H100)</f>
        <v>841959.53</v>
      </c>
    </row>
  </sheetData>
  <mergeCells count="4">
    <mergeCell ref="A1:I1"/>
    <mergeCell ref="A2:I2"/>
    <mergeCell ref="A4:I4"/>
    <mergeCell ref="A76:I7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FormatPr defaultRowHeight="15" outlineLevelRow="0" outlineLevelCol="0" x14ac:dyDescent="55"/>
  <cols>
    <col min="1" max="1" width="58" customWidth="1"/>
    <col min="2" max="7" width="14" customWidth="1"/>
    <col min="8" max="8" width="15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4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ht="30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 s="5" t="s">
        <v>11</v>
      </c>
      <c r="B6" s="6">
        <v>1021126.43</v>
      </c>
      <c r="C6" s="6">
        <v>1037755.6</v>
      </c>
      <c r="D6" s="6">
        <v>1158496.62</v>
      </c>
      <c r="E6" s="6">
        <v>1231075.88</v>
      </c>
      <c r="F6" s="6">
        <v>1323802.11</v>
      </c>
      <c r="G6" s="6">
        <v>1473722.28</v>
      </c>
      <c r="H6" s="6">
        <v>7245978.92</v>
      </c>
    </row>
    <row r="7" spans="1:8" x14ac:dyDescent="0.25">
      <c r="A7" s="5" t="s">
        <v>12</v>
      </c>
      <c r="B7" s="6">
        <v>1478048.67</v>
      </c>
      <c r="C7" s="6">
        <v>801849.28</v>
      </c>
      <c r="D7" s="6">
        <v>919365.25</v>
      </c>
      <c r="E7" s="6">
        <v>1057146.89</v>
      </c>
      <c r="F7" s="6">
        <v>779107.5</v>
      </c>
      <c r="G7" s="6">
        <v>1239333.57</v>
      </c>
      <c r="H7" s="6">
        <v>6274851.16</v>
      </c>
    </row>
    <row r="8" spans="1:8" x14ac:dyDescent="0.25">
      <c r="A8" s="7" t="s">
        <v>13</v>
      </c>
      <c r="B8" s="8">
        <v>618680.1</v>
      </c>
      <c r="C8" s="8">
        <v>11002.1</v>
      </c>
      <c r="D8" s="8">
        <v>26786.67</v>
      </c>
      <c r="E8" s="8">
        <v>0</v>
      </c>
      <c r="F8" s="8">
        <v>-18576.33</v>
      </c>
      <c r="G8" s="8">
        <v>0</v>
      </c>
      <c r="H8" s="8">
        <v>637892.54</v>
      </c>
    </row>
    <row r="9" spans="1:8" x14ac:dyDescent="0.25">
      <c r="A9" s="9" t="s">
        <v>14</v>
      </c>
      <c r="B9" s="10">
        <v>-161757.86</v>
      </c>
      <c r="C9" s="10">
        <v>-246908.42</v>
      </c>
      <c r="D9" s="10">
        <v>-265918.04</v>
      </c>
      <c r="E9" s="10">
        <v>-173928.99</v>
      </c>
      <c r="F9" s="10">
        <v>-526118.28</v>
      </c>
      <c r="G9" s="10">
        <v>-234388.71</v>
      </c>
      <c r="H9" s="10">
        <v>-1609020.3</v>
      </c>
    </row>
    <row r="10" spans="1:8" x14ac:dyDescent="0.25">
      <c r="A10" s="11" t="s">
        <v>15</v>
      </c>
      <c r="B10" s="12">
        <v>-0.15841119693670067</v>
      </c>
      <c r="C10" s="12">
        <v>-0.2379254036306814</v>
      </c>
      <c r="D10" s="12">
        <v>-0.2295371737899417</v>
      </c>
      <c r="E10" s="12">
        <v>-0.14128210358568638</v>
      </c>
      <c r="F10" s="12">
        <v>-0.39742970344714146</v>
      </c>
      <c r="G10" s="12">
        <v>-0.15904537318930942</v>
      </c>
      <c r="H10" s="12">
        <v>-0.22205699433638432</v>
      </c>
    </row>
    <row r="11" spans="1:8" x14ac:dyDescent="0.25">
      <c r="A11" s="5" t="s">
        <v>16</v>
      </c>
      <c r="B11" s="6">
        <v>150401.43</v>
      </c>
      <c r="C11" s="6">
        <v>242692.39</v>
      </c>
      <c r="D11" s="6">
        <v>286844.54</v>
      </c>
      <c r="E11" s="6">
        <v>171009.44</v>
      </c>
      <c r="F11" s="6">
        <v>532804.28</v>
      </c>
      <c r="G11" s="6">
        <v>233640.04</v>
      </c>
      <c r="H11" s="6">
        <v>1617392.12</v>
      </c>
    </row>
    <row r="12" spans="1:8" x14ac:dyDescent="0.25">
      <c r="A12" s="13" t="s">
        <v>17</v>
      </c>
      <c r="B12" s="14">
        <v>-11356.43</v>
      </c>
      <c r="C12" s="14">
        <v>-4216.03</v>
      </c>
      <c r="D12" s="14">
        <v>20926.5</v>
      </c>
      <c r="E12" s="14">
        <v>-2919.55</v>
      </c>
      <c r="F12" s="14">
        <v>6686</v>
      </c>
      <c r="G12" s="14">
        <v>-748.67</v>
      </c>
      <c r="H12" s="14">
        <v>8371.82</v>
      </c>
    </row>
    <row r="13" spans="1:8" x14ac:dyDescent="0.25">
      <c r="A13" s="15" t="s">
        <v>15</v>
      </c>
      <c r="B13" s="16">
        <v>-0.011121472979599761</v>
      </c>
      <c r="C13" s="16">
        <v>-0.004062642495015142</v>
      </c>
      <c r="D13" s="16">
        <v>0.01806349681020211</v>
      </c>
      <c r="E13" s="16">
        <v>-0.0023715434990084013</v>
      </c>
      <c r="F13" s="16">
        <v>0.005050603824766473</v>
      </c>
      <c r="G13" s="16">
        <v>-0.0005080129480026083</v>
      </c>
      <c r="H13" s="16">
        <v>0.0011553746005101544</v>
      </c>
    </row>
    <row r="14" spans="1:8" x14ac:dyDescent="0.25">
      <c r="A14" s="17" t="s">
        <v>18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</row>
    <row r="15" spans="1:8" x14ac:dyDescent="0.25">
      <c r="A15" s="17" t="s">
        <v>19</v>
      </c>
      <c r="B15" s="18">
        <v>0</v>
      </c>
      <c r="C15" s="18">
        <v>493.83</v>
      </c>
      <c r="D15" s="18">
        <v>17878.21</v>
      </c>
      <c r="E15" s="18">
        <v>4756.07</v>
      </c>
      <c r="F15" s="18">
        <v>4879.32</v>
      </c>
      <c r="G15" s="18">
        <v>0</v>
      </c>
      <c r="H15" s="18">
        <v>28007.43</v>
      </c>
    </row>
    <row r="16" spans="1:8" x14ac:dyDescent="0.25">
      <c r="A16" s="17" t="s">
        <v>20</v>
      </c>
      <c r="B16" s="18">
        <v>0</v>
      </c>
      <c r="C16" s="18">
        <v>53.97</v>
      </c>
      <c r="D16" s="18">
        <v>0</v>
      </c>
      <c r="E16" s="18">
        <v>0</v>
      </c>
      <c r="F16" s="18">
        <v>0</v>
      </c>
      <c r="G16" s="18">
        <v>0</v>
      </c>
      <c r="H16" s="18">
        <v>53.97</v>
      </c>
    </row>
    <row r="17" spans="1:8" x14ac:dyDescent="0.25">
      <c r="A17" s="17" t="s">
        <v>21</v>
      </c>
      <c r="B17" s="18">
        <v>0</v>
      </c>
      <c r="C17" s="18">
        <v>730</v>
      </c>
      <c r="D17" s="18">
        <v>1628</v>
      </c>
      <c r="E17" s="18">
        <v>2835</v>
      </c>
      <c r="F17" s="18">
        <v>2976</v>
      </c>
      <c r="G17" s="18">
        <v>2447</v>
      </c>
      <c r="H17" s="18">
        <v>10616</v>
      </c>
    </row>
    <row r="18" spans="1:8" x14ac:dyDescent="0.25">
      <c r="A18" s="17" t="s">
        <v>22</v>
      </c>
      <c r="B18" s="18">
        <v>4235.17</v>
      </c>
      <c r="C18" s="18">
        <v>3872.98</v>
      </c>
      <c r="D18" s="18">
        <v>8240.35</v>
      </c>
      <c r="E18" s="18">
        <v>0</v>
      </c>
      <c r="F18" s="18">
        <v>9531.68</v>
      </c>
      <c r="G18" s="18">
        <v>8055.93</v>
      </c>
      <c r="H18" s="18">
        <v>33936.11</v>
      </c>
    </row>
    <row r="19" spans="1:8" x14ac:dyDescent="0.25">
      <c r="A19" s="17" t="s">
        <v>23</v>
      </c>
      <c r="B19" s="18">
        <v>0</v>
      </c>
      <c r="C19" s="18">
        <v>5687.98</v>
      </c>
      <c r="D19" s="18">
        <v>2948</v>
      </c>
      <c r="E19" s="18">
        <v>3887.49</v>
      </c>
      <c r="F19" s="18">
        <v>3636.51</v>
      </c>
      <c r="G19" s="18">
        <v>281.5</v>
      </c>
      <c r="H19" s="18">
        <v>16441.48</v>
      </c>
    </row>
    <row r="20" spans="1:8" x14ac:dyDescent="0.25">
      <c r="A20" s="17" t="s">
        <v>24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2267.95</v>
      </c>
      <c r="H20" s="18">
        <v>2267.95</v>
      </c>
    </row>
    <row r="21" spans="1:8" x14ac:dyDescent="0.25">
      <c r="A21" s="17" t="s">
        <v>25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</row>
    <row r="22" spans="1:8" x14ac:dyDescent="0.25">
      <c r="A22" s="17" t="s">
        <v>26</v>
      </c>
      <c r="B22" s="18">
        <v>-11636.53</v>
      </c>
      <c r="C22" s="18">
        <v>-9899.73</v>
      </c>
      <c r="D22" s="18">
        <v>-8821.13</v>
      </c>
      <c r="E22" s="18">
        <v>-8823.49</v>
      </c>
      <c r="F22" s="18">
        <v>-10026.17</v>
      </c>
      <c r="G22" s="18">
        <v>-10706.16</v>
      </c>
      <c r="H22" s="18">
        <v>-59913.21</v>
      </c>
    </row>
    <row r="23" spans="1:8" x14ac:dyDescent="0.25">
      <c r="A23" s="19" t="s">
        <v>27</v>
      </c>
      <c r="B23" s="20">
        <v>-3955.07</v>
      </c>
      <c r="C23" s="20">
        <v>-5155.06</v>
      </c>
      <c r="D23" s="20">
        <v>-946.93</v>
      </c>
      <c r="E23" s="20">
        <v>-5574.62</v>
      </c>
      <c r="F23" s="20">
        <v>-4311.34</v>
      </c>
      <c r="G23" s="20">
        <v>-3094.89</v>
      </c>
      <c r="H23" s="20">
        <v>-23037.91</v>
      </c>
    </row>
    <row r="24" spans="1:8" x14ac:dyDescent="0.25">
      <c r="A24" s="19" t="s">
        <v>15</v>
      </c>
      <c r="B24" s="21">
        <v>-0.0038732422193794034</v>
      </c>
      <c r="C24" s="21">
        <v>-0.004967508727488376</v>
      </c>
      <c r="D24" s="21">
        <v>-0.0008173783018892837</v>
      </c>
      <c r="E24" s="21">
        <v>-0.004528250525061093</v>
      </c>
      <c r="F24" s="21">
        <v>-0.0032567858650716843</v>
      </c>
      <c r="G24" s="21">
        <v>-0.0021000496782880465</v>
      </c>
      <c r="H24" s="21">
        <v>-0.0031794061581399136</v>
      </c>
    </row>
    <row r="26" ht="22" customHeight="1" spans="1:8" x14ac:dyDescent="0.25">
      <c r="A26" s="3" t="s">
        <v>28</v>
      </c>
      <c r="B26" s="3"/>
      <c r="C26" s="3"/>
      <c r="D26" s="3"/>
      <c r="E26" s="3"/>
      <c r="F26" s="3"/>
      <c r="G26" s="3"/>
      <c r="H26" s="3"/>
    </row>
    <row r="27" ht="30" customHeight="1" spans="1:8" x14ac:dyDescent="0.25">
      <c r="A27" s="4" t="s">
        <v>3</v>
      </c>
      <c r="B27" s="4" t="s">
        <v>4</v>
      </c>
      <c r="C27" s="4" t="s">
        <v>5</v>
      </c>
      <c r="D27" s="4" t="s">
        <v>6</v>
      </c>
      <c r="E27" s="4" t="s">
        <v>7</v>
      </c>
      <c r="F27" s="4" t="s">
        <v>8</v>
      </c>
      <c r="G27" s="4" t="s">
        <v>9</v>
      </c>
      <c r="H27" s="4" t="s">
        <v>10</v>
      </c>
    </row>
    <row r="28" spans="1:8" x14ac:dyDescent="0.25">
      <c r="A28" s="5" t="s">
        <v>11</v>
      </c>
      <c r="B28" s="6">
        <v>2029394.85</v>
      </c>
      <c r="C28" s="6">
        <v>1891722.32</v>
      </c>
      <c r="D28" s="6">
        <v>2172723.59</v>
      </c>
      <c r="E28" s="6">
        <v>2485367.09</v>
      </c>
      <c r="F28" s="6">
        <v>3050632.3</v>
      </c>
      <c r="G28" s="6">
        <v>3065504.4</v>
      </c>
      <c r="H28" s="6">
        <v>14695344.55</v>
      </c>
    </row>
    <row r="29" spans="1:8" x14ac:dyDescent="0.25">
      <c r="A29" s="5" t="s">
        <v>12</v>
      </c>
      <c r="B29" s="6">
        <v>2452976.18</v>
      </c>
      <c r="C29" s="6">
        <v>2305424.91</v>
      </c>
      <c r="D29" s="6">
        <v>2250602.09</v>
      </c>
      <c r="E29" s="6">
        <v>2740110.39</v>
      </c>
      <c r="F29" s="6">
        <v>3273376.19</v>
      </c>
      <c r="G29" s="6">
        <v>3122469.3</v>
      </c>
      <c r="H29" s="6">
        <v>16144959.06</v>
      </c>
    </row>
    <row r="30" spans="1:8" x14ac:dyDescent="0.25">
      <c r="A30" s="7" t="s">
        <v>13</v>
      </c>
      <c r="B30" s="8">
        <v>481163.62</v>
      </c>
      <c r="C30" s="8">
        <v>110748.25</v>
      </c>
      <c r="D30" s="8">
        <v>14335</v>
      </c>
      <c r="E30" s="8">
        <v>0</v>
      </c>
      <c r="F30" s="8">
        <v>-27403.81</v>
      </c>
      <c r="G30" s="8">
        <v>0</v>
      </c>
      <c r="H30" s="8">
        <v>578843.06</v>
      </c>
    </row>
    <row r="31" spans="1:8" x14ac:dyDescent="0.25">
      <c r="A31" s="9" t="s">
        <v>14</v>
      </c>
      <c r="B31" s="10">
        <v>-57582.29</v>
      </c>
      <c r="C31" s="10">
        <v>302954.34</v>
      </c>
      <c r="D31" s="10">
        <v>63543.5</v>
      </c>
      <c r="E31" s="10">
        <v>254743.3</v>
      </c>
      <c r="F31" s="10">
        <v>250147.7</v>
      </c>
      <c r="G31" s="10">
        <v>56964.9</v>
      </c>
      <c r="H31" s="10">
        <v>870771.45</v>
      </c>
    </row>
    <row r="32" spans="1:8" x14ac:dyDescent="0.25">
      <c r="A32" s="11" t="s">
        <v>15</v>
      </c>
      <c r="B32" s="12">
        <v>-0.028374118521095053</v>
      </c>
      <c r="C32" s="12">
        <v>0.1601473624310782</v>
      </c>
      <c r="D32" s="12">
        <v>0.02924601191447459</v>
      </c>
      <c r="E32" s="12">
        <v>0.10249725323272076</v>
      </c>
      <c r="F32" s="12">
        <v>0.08199864008520467</v>
      </c>
      <c r="G32" s="12">
        <v>0.018582553657401343</v>
      </c>
      <c r="H32" s="12">
        <v>0.05925491893281263</v>
      </c>
    </row>
    <row r="33" spans="1:8" x14ac:dyDescent="0.25">
      <c r="A33" s="5" t="s">
        <v>16</v>
      </c>
      <c r="B33" s="6">
        <v>24409.44</v>
      </c>
      <c r="C33" s="6">
        <v>-243782.41</v>
      </c>
      <c r="D33" s="6">
        <v>-40690.82</v>
      </c>
      <c r="E33" s="6">
        <v>-236170.79</v>
      </c>
      <c r="F33" s="6">
        <v>-270171.26</v>
      </c>
      <c r="G33" s="6">
        <v>-9026.75</v>
      </c>
      <c r="H33" s="6">
        <v>-775432.59</v>
      </c>
    </row>
    <row r="34" spans="1:8" x14ac:dyDescent="0.25">
      <c r="A34" s="13" t="s">
        <v>17</v>
      </c>
      <c r="B34" s="14">
        <v>-33172.85</v>
      </c>
      <c r="C34" s="14">
        <v>59171.93</v>
      </c>
      <c r="D34" s="14">
        <v>22852.68</v>
      </c>
      <c r="E34" s="14">
        <v>18572.51</v>
      </c>
      <c r="F34" s="14">
        <v>-20023.56</v>
      </c>
      <c r="G34" s="14">
        <v>47938.15</v>
      </c>
      <c r="H34" s="14">
        <v>95338.86</v>
      </c>
    </row>
    <row r="35" spans="1:8" x14ac:dyDescent="0.25">
      <c r="A35" s="15" t="s">
        <v>15</v>
      </c>
      <c r="B35" s="16">
        <v>-0.016346178270827866</v>
      </c>
      <c r="C35" s="16">
        <v>0.031279395170428693</v>
      </c>
      <c r="D35" s="16">
        <v>0.010517987702246179</v>
      </c>
      <c r="E35" s="16">
        <v>0.007472743191429417</v>
      </c>
      <c r="F35" s="16">
        <v>-0.006563740900534002</v>
      </c>
      <c r="G35" s="16">
        <v>0.015637932211090583</v>
      </c>
      <c r="H35" s="16">
        <v>0.006487691368896825</v>
      </c>
    </row>
    <row r="36" spans="1:8" x14ac:dyDescent="0.25">
      <c r="A36" s="17" t="s">
        <v>18</v>
      </c>
      <c r="B36" s="18">
        <v>6158.49</v>
      </c>
      <c r="C36" s="18">
        <v>0</v>
      </c>
      <c r="D36" s="18">
        <v>20003.17</v>
      </c>
      <c r="E36" s="18">
        <v>12688.86</v>
      </c>
      <c r="F36" s="18">
        <v>0</v>
      </c>
      <c r="G36" s="18">
        <v>5034.06</v>
      </c>
      <c r="H36" s="18">
        <v>43884.58</v>
      </c>
    </row>
    <row r="37" spans="1:8" x14ac:dyDescent="0.25">
      <c r="A37" s="17" t="s">
        <v>19</v>
      </c>
      <c r="B37" s="18">
        <v>22298.56</v>
      </c>
      <c r="C37" s="18">
        <v>6467.02</v>
      </c>
      <c r="D37" s="18">
        <v>5127.79</v>
      </c>
      <c r="E37" s="18">
        <v>2183</v>
      </c>
      <c r="F37" s="18">
        <v>31609.24</v>
      </c>
      <c r="G37" s="18">
        <v>4730.43</v>
      </c>
      <c r="H37" s="18">
        <v>72416.04</v>
      </c>
    </row>
    <row r="38" spans="1:8" x14ac:dyDescent="0.25">
      <c r="A38" s="17" t="s">
        <v>20</v>
      </c>
      <c r="B38" s="18">
        <v>267</v>
      </c>
      <c r="C38" s="18">
        <v>2741.04</v>
      </c>
      <c r="D38" s="18">
        <v>0</v>
      </c>
      <c r="E38" s="18">
        <v>0</v>
      </c>
      <c r="F38" s="18">
        <v>0</v>
      </c>
      <c r="G38" s="18">
        <v>110.26</v>
      </c>
      <c r="H38" s="18">
        <v>3118.3</v>
      </c>
    </row>
    <row r="39" spans="1:8" x14ac:dyDescent="0.25">
      <c r="A39" s="17" t="s">
        <v>21</v>
      </c>
      <c r="B39" s="18">
        <v>149</v>
      </c>
      <c r="C39" s="18">
        <v>149</v>
      </c>
      <c r="D39" s="18">
        <v>149.01</v>
      </c>
      <c r="E39" s="18">
        <v>393.23</v>
      </c>
      <c r="F39" s="18">
        <v>0</v>
      </c>
      <c r="G39" s="18">
        <v>660.36</v>
      </c>
      <c r="H39" s="18">
        <v>1500.6</v>
      </c>
    </row>
    <row r="40" spans="1:8" x14ac:dyDescent="0.25">
      <c r="A40" s="17" t="s">
        <v>22</v>
      </c>
      <c r="B40" s="18">
        <v>3411.11</v>
      </c>
      <c r="C40" s="18">
        <v>7179.39</v>
      </c>
      <c r="D40" s="18">
        <v>2047.86</v>
      </c>
      <c r="E40" s="18">
        <v>1878.86</v>
      </c>
      <c r="F40" s="18">
        <v>1759.39</v>
      </c>
      <c r="G40" s="18">
        <v>1851.86</v>
      </c>
      <c r="H40" s="18">
        <v>18128.47</v>
      </c>
    </row>
    <row r="41" spans="1:8" x14ac:dyDescent="0.25">
      <c r="A41" s="17" t="s">
        <v>23</v>
      </c>
      <c r="B41" s="18">
        <v>6000.66</v>
      </c>
      <c r="C41" s="18">
        <v>785.66</v>
      </c>
      <c r="D41" s="18">
        <v>495.37</v>
      </c>
      <c r="E41" s="18">
        <v>5146.84</v>
      </c>
      <c r="F41" s="18">
        <v>5893.07</v>
      </c>
      <c r="G41" s="18">
        <v>9002.54</v>
      </c>
      <c r="H41" s="18">
        <v>27324.14</v>
      </c>
    </row>
    <row r="42" spans="1:8" x14ac:dyDescent="0.25">
      <c r="A42" s="17" t="s">
        <v>24</v>
      </c>
      <c r="B42" s="18">
        <v>2076</v>
      </c>
      <c r="C42" s="18">
        <v>26083.73</v>
      </c>
      <c r="D42" s="18">
        <v>5200.4</v>
      </c>
      <c r="E42" s="18">
        <v>5828.86</v>
      </c>
      <c r="F42" s="18">
        <v>2904.85</v>
      </c>
      <c r="G42" s="18">
        <v>5641.32</v>
      </c>
      <c r="H42" s="18">
        <v>47735.16</v>
      </c>
    </row>
    <row r="43" spans="1:8" x14ac:dyDescent="0.25">
      <c r="A43" s="17" t="s">
        <v>25</v>
      </c>
      <c r="B43" s="18">
        <v>-75087.15</v>
      </c>
      <c r="C43" s="18">
        <v>9147.07</v>
      </c>
      <c r="D43" s="18">
        <v>-11872.77</v>
      </c>
      <c r="E43" s="18">
        <v>-6699.18</v>
      </c>
      <c r="F43" s="18">
        <v>-63396.63</v>
      </c>
      <c r="G43" s="18">
        <v>-22400.29</v>
      </c>
      <c r="H43" s="18">
        <v>-170308.95</v>
      </c>
    </row>
    <row r="44" spans="1:8" x14ac:dyDescent="0.25">
      <c r="A44" s="17" t="s">
        <v>26</v>
      </c>
      <c r="B44" s="18">
        <v>11636.53</v>
      </c>
      <c r="C44" s="18">
        <v>9781.07</v>
      </c>
      <c r="D44" s="18">
        <v>8821.13</v>
      </c>
      <c r="E44" s="18">
        <v>8823.49</v>
      </c>
      <c r="F44" s="18">
        <v>10026.17</v>
      </c>
      <c r="G44" s="18">
        <v>58355.45</v>
      </c>
      <c r="H44" s="18">
        <v>107443.84</v>
      </c>
    </row>
    <row r="45" spans="1:8" x14ac:dyDescent="0.25">
      <c r="A45" s="19" t="s">
        <v>27</v>
      </c>
      <c r="B45" s="20">
        <v>-10083.05</v>
      </c>
      <c r="C45" s="20">
        <v>-3162.05</v>
      </c>
      <c r="D45" s="20">
        <v>-7119.28</v>
      </c>
      <c r="E45" s="20">
        <v>-11671.45</v>
      </c>
      <c r="F45" s="20">
        <v>-8819.65</v>
      </c>
      <c r="G45" s="20">
        <v>-15047.84</v>
      </c>
      <c r="H45" s="20">
        <v>-55903.32</v>
      </c>
    </row>
    <row r="46" spans="1:8" x14ac:dyDescent="0.25">
      <c r="A46" s="19" t="s">
        <v>15</v>
      </c>
      <c r="B46" s="21">
        <v>-0.004968500831664173</v>
      </c>
      <c r="C46" s="21">
        <v>-0.001671519105404345</v>
      </c>
      <c r="D46" s="21">
        <v>-0.003276661620818427</v>
      </c>
      <c r="E46" s="21">
        <v>-0.004696066849424549</v>
      </c>
      <c r="F46" s="21">
        <v>-0.002891089168629111</v>
      </c>
      <c r="G46" s="21">
        <v>-0.004908764769673821</v>
      </c>
      <c r="H46" s="21">
        <v>-0.003804151703268502</v>
      </c>
    </row>
    <row r="48" ht="22" customHeight="1" spans="1:8" x14ac:dyDescent="0.25">
      <c r="A48" s="3" t="s">
        <v>29</v>
      </c>
      <c r="B48" s="3"/>
      <c r="C48" s="3"/>
      <c r="D48" s="3"/>
      <c r="E48" s="3"/>
      <c r="F48" s="3"/>
      <c r="G48" s="3"/>
      <c r="H48" s="3"/>
    </row>
    <row r="49" ht="30" customHeight="1" spans="1:8" x14ac:dyDescent="0.25">
      <c r="A49" s="4" t="s">
        <v>3</v>
      </c>
      <c r="B49" s="4" t="s">
        <v>4</v>
      </c>
      <c r="C49" s="4" t="s">
        <v>5</v>
      </c>
      <c r="D49" s="4" t="s">
        <v>6</v>
      </c>
      <c r="E49" s="4" t="s">
        <v>7</v>
      </c>
      <c r="F49" s="4" t="s">
        <v>8</v>
      </c>
      <c r="G49" s="4" t="s">
        <v>9</v>
      </c>
      <c r="H49" s="4" t="s">
        <v>10</v>
      </c>
    </row>
    <row r="50" spans="1:8" x14ac:dyDescent="0.25">
      <c r="A50" s="5" t="s">
        <v>11</v>
      </c>
      <c r="B50" s="6">
        <v>3050521.28</v>
      </c>
      <c r="C50" s="6">
        <v>2929477.92</v>
      </c>
      <c r="D50" s="6">
        <v>3331220.21</v>
      </c>
      <c r="E50" s="6">
        <v>3716442.97</v>
      </c>
      <c r="F50" s="6">
        <v>4374434.41</v>
      </c>
      <c r="G50" s="6">
        <v>4539226.68</v>
      </c>
      <c r="H50" s="6">
        <v>21941323.47</v>
      </c>
    </row>
    <row r="51" spans="1:8" x14ac:dyDescent="0.25">
      <c r="A51" s="5" t="s">
        <v>12</v>
      </c>
      <c r="B51" s="6">
        <v>3931024.85</v>
      </c>
      <c r="C51" s="6">
        <v>3107274.19</v>
      </c>
      <c r="D51" s="6">
        <v>3169967.34</v>
      </c>
      <c r="E51" s="6">
        <v>3797257.28</v>
      </c>
      <c r="F51" s="6">
        <v>4052483.69</v>
      </c>
      <c r="G51" s="6">
        <v>4361802.87</v>
      </c>
      <c r="H51" s="6">
        <v>22419810.22</v>
      </c>
    </row>
    <row r="52" spans="1:8" x14ac:dyDescent="0.25">
      <c r="A52" s="7" t="s">
        <v>13</v>
      </c>
      <c r="B52" s="8">
        <v>1099843.72</v>
      </c>
      <c r="C52" s="8">
        <v>121750.35</v>
      </c>
      <c r="D52" s="8">
        <v>41121.67</v>
      </c>
      <c r="E52" s="8">
        <v>0</v>
      </c>
      <c r="F52" s="8">
        <v>-45980.14</v>
      </c>
      <c r="G52" s="8">
        <v>0</v>
      </c>
      <c r="H52" s="8">
        <v>1216735.6</v>
      </c>
    </row>
    <row r="53" spans="1:8" x14ac:dyDescent="0.25">
      <c r="A53" s="9" t="s">
        <v>14</v>
      </c>
      <c r="B53" s="10">
        <v>-219340.15</v>
      </c>
      <c r="C53" s="10">
        <v>56045.92</v>
      </c>
      <c r="D53" s="10">
        <v>-202374.54</v>
      </c>
      <c r="E53" s="10">
        <v>80814.31</v>
      </c>
      <c r="F53" s="10">
        <v>-275970.58</v>
      </c>
      <c r="G53" s="10">
        <v>-177423.81</v>
      </c>
      <c r="H53" s="10">
        <v>-738248.85</v>
      </c>
    </row>
    <row r="54" spans="1:8" x14ac:dyDescent="0.25">
      <c r="A54" s="11" t="s">
        <v>15</v>
      </c>
      <c r="B54" s="12">
        <v>-0.0719025143138815</v>
      </c>
      <c r="C54" s="12">
        <v>0.0191317093115351</v>
      </c>
      <c r="D54" s="12">
        <v>-0.06075087422695484</v>
      </c>
      <c r="E54" s="12">
        <v>0.021745069318257433</v>
      </c>
      <c r="F54" s="12">
        <v>-0.06308714547625374</v>
      </c>
      <c r="G54" s="12">
        <v>-0.039086792202234676</v>
      </c>
      <c r="H54" s="12">
        <v>-0.03364650500729344</v>
      </c>
    </row>
    <row r="55" spans="1:8" x14ac:dyDescent="0.25">
      <c r="A55" s="5" t="s">
        <v>16</v>
      </c>
      <c r="B55" s="6">
        <v>174810.87</v>
      </c>
      <c r="C55" s="6">
        <v>-1090.02</v>
      </c>
      <c r="D55" s="6">
        <v>246153.72</v>
      </c>
      <c r="E55" s="6">
        <v>-65161.35</v>
      </c>
      <c r="F55" s="6">
        <v>262633.02</v>
      </c>
      <c r="G55" s="6">
        <v>224613.29</v>
      </c>
      <c r="H55" s="6">
        <v>841959.53</v>
      </c>
    </row>
    <row r="56" spans="1:8" x14ac:dyDescent="0.25">
      <c r="A56" s="13" t="s">
        <v>17</v>
      </c>
      <c r="B56" s="14">
        <v>-44529.28</v>
      </c>
      <c r="C56" s="14">
        <v>54955.9</v>
      </c>
      <c r="D56" s="14">
        <v>43779.18</v>
      </c>
      <c r="E56" s="14">
        <v>15652.96</v>
      </c>
      <c r="F56" s="14">
        <v>-13337.56</v>
      </c>
      <c r="G56" s="14">
        <v>47189.48</v>
      </c>
      <c r="H56" s="14">
        <v>103710.68</v>
      </c>
    </row>
    <row r="57" spans="1:8" x14ac:dyDescent="0.25">
      <c r="A57" s="15" t="s">
        <v>15</v>
      </c>
      <c r="B57" s="16">
        <v>-0.014597269093628492</v>
      </c>
      <c r="C57" s="16">
        <v>0.01875962253369722</v>
      </c>
      <c r="D57" s="16">
        <v>0.013142085254099618</v>
      </c>
      <c r="E57" s="16">
        <v>0.0042118122426079985</v>
      </c>
      <c r="F57" s="16">
        <v>-0.0030489793079330196</v>
      </c>
      <c r="G57" s="16">
        <v>0.010395929378878354</v>
      </c>
      <c r="H57" s="16">
        <v>0.00472672854678989</v>
      </c>
    </row>
    <row r="58" spans="1:8" x14ac:dyDescent="0.25">
      <c r="A58" s="17" t="s">
        <v>18</v>
      </c>
      <c r="B58" s="18">
        <v>6158.49</v>
      </c>
      <c r="C58" s="18">
        <v>0</v>
      </c>
      <c r="D58" s="18">
        <v>20003.17</v>
      </c>
      <c r="E58" s="18">
        <v>12688.86</v>
      </c>
      <c r="F58" s="18">
        <v>0</v>
      </c>
      <c r="G58" s="18">
        <v>5034.06</v>
      </c>
      <c r="H58" s="18">
        <v>43884.58</v>
      </c>
    </row>
    <row r="59" spans="1:8" x14ac:dyDescent="0.25">
      <c r="A59" s="17" t="s">
        <v>19</v>
      </c>
      <c r="B59" s="18">
        <v>22298.56</v>
      </c>
      <c r="C59" s="18">
        <v>6960.85</v>
      </c>
      <c r="D59" s="18">
        <v>23006</v>
      </c>
      <c r="E59" s="18">
        <v>6939.07</v>
      </c>
      <c r="F59" s="18">
        <v>36488.56</v>
      </c>
      <c r="G59" s="18">
        <v>4730.43</v>
      </c>
      <c r="H59" s="18">
        <v>100423.47</v>
      </c>
    </row>
    <row r="60" spans="1:8" x14ac:dyDescent="0.25">
      <c r="A60" s="17" t="s">
        <v>20</v>
      </c>
      <c r="B60" s="18">
        <v>267</v>
      </c>
      <c r="C60" s="18">
        <v>2795.01</v>
      </c>
      <c r="D60" s="18">
        <v>0</v>
      </c>
      <c r="E60" s="18">
        <v>0</v>
      </c>
      <c r="F60" s="18">
        <v>0</v>
      </c>
      <c r="G60" s="18">
        <v>110.26</v>
      </c>
      <c r="H60" s="18">
        <v>3172.27</v>
      </c>
    </row>
    <row r="61" spans="1:8" x14ac:dyDescent="0.25">
      <c r="A61" s="17" t="s">
        <v>21</v>
      </c>
      <c r="B61" s="18">
        <v>149</v>
      </c>
      <c r="C61" s="18">
        <v>879</v>
      </c>
      <c r="D61" s="18">
        <v>1777.01</v>
      </c>
      <c r="E61" s="18">
        <v>3228.23</v>
      </c>
      <c r="F61" s="18">
        <v>2976</v>
      </c>
      <c r="G61" s="18">
        <v>3107.36</v>
      </c>
      <c r="H61" s="18">
        <v>12116.6</v>
      </c>
    </row>
    <row r="62" spans="1:8" x14ac:dyDescent="0.25">
      <c r="A62" s="17" t="s">
        <v>22</v>
      </c>
      <c r="B62" s="18">
        <v>7646.28</v>
      </c>
      <c r="C62" s="18">
        <v>11052.37</v>
      </c>
      <c r="D62" s="18">
        <v>10288.21</v>
      </c>
      <c r="E62" s="18">
        <v>1878.86</v>
      </c>
      <c r="F62" s="18">
        <v>11291.07</v>
      </c>
      <c r="G62" s="18">
        <v>9907.79</v>
      </c>
      <c r="H62" s="18">
        <v>52064.58</v>
      </c>
    </row>
    <row r="63" spans="1:8" x14ac:dyDescent="0.25">
      <c r="A63" s="17" t="s">
        <v>23</v>
      </c>
      <c r="B63" s="18">
        <v>6000.66</v>
      </c>
      <c r="C63" s="18">
        <v>6473.64</v>
      </c>
      <c r="D63" s="18">
        <v>3443.37</v>
      </c>
      <c r="E63" s="18">
        <v>9034.33</v>
      </c>
      <c r="F63" s="18">
        <v>9529.58</v>
      </c>
      <c r="G63" s="18">
        <v>9284.04</v>
      </c>
      <c r="H63" s="18">
        <v>43765.62</v>
      </c>
    </row>
    <row r="64" spans="1:8" x14ac:dyDescent="0.25">
      <c r="A64" s="17" t="s">
        <v>24</v>
      </c>
      <c r="B64" s="18">
        <v>2076</v>
      </c>
      <c r="C64" s="18">
        <v>26083.73</v>
      </c>
      <c r="D64" s="18">
        <v>5200.4</v>
      </c>
      <c r="E64" s="18">
        <v>5828.86</v>
      </c>
      <c r="F64" s="18">
        <v>2904.85</v>
      </c>
      <c r="G64" s="18">
        <v>7909.27</v>
      </c>
      <c r="H64" s="18">
        <v>50003.11</v>
      </c>
    </row>
    <row r="65" spans="1:8" x14ac:dyDescent="0.25">
      <c r="A65" s="17" t="s">
        <v>25</v>
      </c>
      <c r="B65" s="18">
        <v>-75087.15</v>
      </c>
      <c r="C65" s="18">
        <v>9147.07</v>
      </c>
      <c r="D65" s="18">
        <v>-11872.77</v>
      </c>
      <c r="E65" s="18">
        <v>-6699.18</v>
      </c>
      <c r="F65" s="18">
        <v>-63396.63</v>
      </c>
      <c r="G65" s="18">
        <v>-22400.29</v>
      </c>
      <c r="H65" s="18">
        <v>-170308.95</v>
      </c>
    </row>
    <row r="66" spans="1:8" x14ac:dyDescent="0.25">
      <c r="A66" s="17" t="s">
        <v>26</v>
      </c>
      <c r="B66" s="18">
        <v>0</v>
      </c>
      <c r="C66" s="18">
        <v>-118.66</v>
      </c>
      <c r="D66" s="18">
        <v>0</v>
      </c>
      <c r="E66" s="18">
        <v>0</v>
      </c>
      <c r="F66" s="18">
        <v>0</v>
      </c>
      <c r="G66" s="18">
        <v>47649.29</v>
      </c>
      <c r="H66" s="18">
        <v>47530.63</v>
      </c>
    </row>
    <row r="67" spans="1:8" x14ac:dyDescent="0.25">
      <c r="A67" s="19" t="s">
        <v>27</v>
      </c>
      <c r="B67" s="20">
        <v>-14038.12</v>
      </c>
      <c r="C67" s="20">
        <v>-8317.11</v>
      </c>
      <c r="D67" s="20">
        <v>-8066.21</v>
      </c>
      <c r="E67" s="20">
        <v>-17246.07</v>
      </c>
      <c r="F67" s="20">
        <v>-13130.99</v>
      </c>
      <c r="G67" s="20">
        <v>-18142.73</v>
      </c>
      <c r="H67" s="20">
        <v>-78941.23</v>
      </c>
    </row>
    <row r="68" spans="1:8" x14ac:dyDescent="0.25">
      <c r="A68" s="19" t="s">
        <v>15</v>
      </c>
      <c r="B68" s="21">
        <v>-0.004601875781702471</v>
      </c>
      <c r="C68" s="21">
        <v>-0.0028391099803884313</v>
      </c>
      <c r="D68" s="21">
        <v>-0.002421398013792782</v>
      </c>
      <c r="E68" s="21">
        <v>-0.004640477504757613</v>
      </c>
      <c r="F68" s="21">
        <v>-0.0030017572031672515</v>
      </c>
      <c r="G68" s="21">
        <v>-0.00399687684246682</v>
      </c>
      <c r="H68" s="21">
        <v>-0.003597833563136472</v>
      </c>
    </row>
  </sheetData>
  <mergeCells count="5">
    <mergeCell ref="A1:H1"/>
    <mergeCell ref="A2:H2"/>
    <mergeCell ref="A4:H4"/>
    <mergeCell ref="A26:H26"/>
    <mergeCell ref="A48:H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7" customWidth="1"/>
    <col min="3" max="3" width="40" customWidth="1"/>
    <col min="4" max="4" width="30" customWidth="1"/>
    <col min="5" max="6" width="38" customWidth="1"/>
    <col min="7" max="7" width="14" customWidth="1"/>
    <col min="8" max="8" width="16" customWidth="1"/>
    <col min="9" max="9" width="70" customWidth="1"/>
    <col min="10" max="10" width="16" customWidth="1"/>
  </cols>
  <sheetData>
    <row r="1" ht="26" customHeight="1" spans="1:10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</row>
    <row r="2" ht="45" customHeight="1" spans="1:10" x14ac:dyDescent="0.25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</row>
    <row r="4" ht="30" customHeight="1" spans="1:10" x14ac:dyDescent="0.25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</row>
    <row r="5" ht="48" customHeight="1" spans="1:10" x14ac:dyDescent="0.25">
      <c r="A5" s="5">
        <v>1</v>
      </c>
      <c r="B5" s="5" t="s">
        <v>4</v>
      </c>
      <c r="C5" s="5" t="s">
        <v>42</v>
      </c>
      <c r="D5" s="22" t="s">
        <v>43</v>
      </c>
      <c r="E5" s="5" t="s">
        <v>44</v>
      </c>
      <c r="F5" s="5" t="s">
        <v>45</v>
      </c>
      <c r="G5" s="6">
        <v>267</v>
      </c>
      <c r="H5" s="5" t="s">
        <v>46</v>
      </c>
      <c r="I5" s="5" t="s">
        <v>47</v>
      </c>
      <c r="J5" s="5" t="s">
        <v>3</v>
      </c>
    </row>
    <row r="6" ht="32" customHeight="1" spans="1:10" x14ac:dyDescent="0.25">
      <c r="A6" s="5">
        <v>2</v>
      </c>
      <c r="B6" s="5" t="s">
        <v>4</v>
      </c>
      <c r="C6" s="5" t="s">
        <v>48</v>
      </c>
      <c r="D6" s="22" t="s">
        <v>49</v>
      </c>
      <c r="E6" s="5" t="s">
        <v>50</v>
      </c>
      <c r="F6" s="5" t="s">
        <v>51</v>
      </c>
      <c r="G6" s="6">
        <v>49296</v>
      </c>
      <c r="H6" s="5" t="s">
        <v>46</v>
      </c>
      <c r="I6" s="5" t="s">
        <v>52</v>
      </c>
      <c r="J6" s="5" t="s">
        <v>3</v>
      </c>
    </row>
    <row r="7" ht="32" customHeight="1" spans="1:10" x14ac:dyDescent="0.25">
      <c r="A7" s="5">
        <v>3</v>
      </c>
      <c r="B7" s="5" t="s">
        <v>4</v>
      </c>
      <c r="C7" s="5" t="s">
        <v>53</v>
      </c>
      <c r="D7" s="22" t="s">
        <v>49</v>
      </c>
      <c r="E7" s="5" t="s">
        <v>50</v>
      </c>
      <c r="F7" s="5" t="s">
        <v>51</v>
      </c>
      <c r="G7" s="6">
        <v>31667</v>
      </c>
      <c r="H7" s="5" t="s">
        <v>46</v>
      </c>
      <c r="I7" s="5" t="s">
        <v>54</v>
      </c>
      <c r="J7" s="5" t="s">
        <v>3</v>
      </c>
    </row>
    <row r="8" ht="32" customHeight="1" spans="1:10" x14ac:dyDescent="0.25">
      <c r="A8" s="5">
        <v>4</v>
      </c>
      <c r="B8" s="5" t="s">
        <v>4</v>
      </c>
      <c r="C8" s="5" t="s">
        <v>55</v>
      </c>
      <c r="D8" s="22" t="s">
        <v>49</v>
      </c>
      <c r="E8" s="5" t="s">
        <v>50</v>
      </c>
      <c r="F8" s="5" t="s">
        <v>56</v>
      </c>
      <c r="G8" s="6">
        <v>20000</v>
      </c>
      <c r="H8" s="5" t="s">
        <v>46</v>
      </c>
      <c r="I8" s="5" t="s">
        <v>57</v>
      </c>
      <c r="J8" s="5" t="s">
        <v>3</v>
      </c>
    </row>
    <row r="9" ht="32" customHeight="1" spans="1:10" x14ac:dyDescent="0.25">
      <c r="A9" s="5">
        <v>5</v>
      </c>
      <c r="B9" s="5" t="s">
        <v>4</v>
      </c>
      <c r="C9" s="5" t="s">
        <v>58</v>
      </c>
      <c r="D9" s="22" t="s">
        <v>49</v>
      </c>
      <c r="E9" s="5" t="s">
        <v>50</v>
      </c>
      <c r="F9" s="5" t="s">
        <v>56</v>
      </c>
      <c r="G9" s="6">
        <v>5000</v>
      </c>
      <c r="H9" s="5" t="s">
        <v>46</v>
      </c>
      <c r="I9" s="5" t="s">
        <v>59</v>
      </c>
      <c r="J9" s="5" t="s">
        <v>3</v>
      </c>
    </row>
    <row r="10" ht="32" customHeight="1" spans="1:10" x14ac:dyDescent="0.25">
      <c r="A10" s="5">
        <v>6</v>
      </c>
      <c r="B10" s="5" t="s">
        <v>4</v>
      </c>
      <c r="C10" s="5" t="s">
        <v>60</v>
      </c>
      <c r="D10" s="22" t="s">
        <v>49</v>
      </c>
      <c r="E10" s="5" t="s">
        <v>50</v>
      </c>
      <c r="F10" s="5" t="s">
        <v>56</v>
      </c>
      <c r="G10" s="6">
        <v>2000</v>
      </c>
      <c r="H10" s="5" t="s">
        <v>46</v>
      </c>
      <c r="I10" s="5" t="s">
        <v>61</v>
      </c>
      <c r="J10" s="5" t="s">
        <v>3</v>
      </c>
    </row>
    <row r="11" ht="32" customHeight="1" spans="1:10" x14ac:dyDescent="0.25">
      <c r="A11" s="5">
        <v>7</v>
      </c>
      <c r="B11" s="5" t="s">
        <v>4</v>
      </c>
      <c r="C11" s="5" t="s">
        <v>62</v>
      </c>
      <c r="D11" s="22" t="s">
        <v>49</v>
      </c>
      <c r="E11" s="5" t="s">
        <v>50</v>
      </c>
      <c r="F11" s="5" t="s">
        <v>56</v>
      </c>
      <c r="G11" s="6">
        <v>1000</v>
      </c>
      <c r="H11" s="5" t="s">
        <v>46</v>
      </c>
      <c r="I11" s="5" t="s">
        <v>63</v>
      </c>
      <c r="J11" s="5" t="s">
        <v>3</v>
      </c>
    </row>
    <row r="12" ht="32" customHeight="1" spans="1:10" x14ac:dyDescent="0.25">
      <c r="A12" s="5">
        <v>8</v>
      </c>
      <c r="B12" s="5" t="s">
        <v>4</v>
      </c>
      <c r="C12" s="5" t="s">
        <v>64</v>
      </c>
      <c r="D12" s="22" t="s">
        <v>49</v>
      </c>
      <c r="E12" s="5" t="s">
        <v>50</v>
      </c>
      <c r="F12" s="5" t="s">
        <v>56</v>
      </c>
      <c r="G12" s="6">
        <v>900</v>
      </c>
      <c r="H12" s="5" t="s">
        <v>46</v>
      </c>
      <c r="I12" s="5" t="s">
        <v>65</v>
      </c>
      <c r="J12" s="5" t="s">
        <v>3</v>
      </c>
    </row>
    <row r="13" ht="32" customHeight="1" spans="1:10" x14ac:dyDescent="0.25">
      <c r="A13" s="5">
        <v>9</v>
      </c>
      <c r="B13" s="5" t="s">
        <v>4</v>
      </c>
      <c r="C13" s="5" t="s">
        <v>66</v>
      </c>
      <c r="D13" s="22" t="s">
        <v>49</v>
      </c>
      <c r="E13" s="5" t="s">
        <v>50</v>
      </c>
      <c r="F13" s="5" t="s">
        <v>56</v>
      </c>
      <c r="G13" s="6">
        <v>800</v>
      </c>
      <c r="H13" s="5" t="s">
        <v>46</v>
      </c>
      <c r="I13" s="5" t="s">
        <v>67</v>
      </c>
      <c r="J13" s="5" t="s">
        <v>3</v>
      </c>
    </row>
    <row r="14" ht="32" customHeight="1" spans="1:10" x14ac:dyDescent="0.25">
      <c r="A14" s="5">
        <v>10</v>
      </c>
      <c r="B14" s="5" t="s">
        <v>4</v>
      </c>
      <c r="C14" s="5" t="s">
        <v>68</v>
      </c>
      <c r="D14" s="22" t="s">
        <v>49</v>
      </c>
      <c r="E14" s="5" t="s">
        <v>50</v>
      </c>
      <c r="F14" s="5" t="s">
        <v>56</v>
      </c>
      <c r="G14" s="6">
        <v>700</v>
      </c>
      <c r="H14" s="5" t="s">
        <v>46</v>
      </c>
      <c r="I14" s="5" t="s">
        <v>69</v>
      </c>
      <c r="J14" s="5" t="s">
        <v>3</v>
      </c>
    </row>
    <row r="15" ht="32" customHeight="1" spans="1:10" x14ac:dyDescent="0.25">
      <c r="A15" s="5">
        <v>11</v>
      </c>
      <c r="B15" s="5" t="s">
        <v>4</v>
      </c>
      <c r="C15" s="5" t="s">
        <v>70</v>
      </c>
      <c r="D15" s="22" t="s">
        <v>49</v>
      </c>
      <c r="E15" s="5" t="s">
        <v>50</v>
      </c>
      <c r="F15" s="5" t="s">
        <v>56</v>
      </c>
      <c r="G15" s="6">
        <v>582</v>
      </c>
      <c r="H15" s="5" t="s">
        <v>46</v>
      </c>
      <c r="I15" s="5" t="s">
        <v>71</v>
      </c>
      <c r="J15" s="5" t="s">
        <v>3</v>
      </c>
    </row>
    <row r="16" ht="32" customHeight="1" spans="1:10" x14ac:dyDescent="0.25">
      <c r="A16" s="5">
        <v>12</v>
      </c>
      <c r="B16" s="5" t="s">
        <v>4</v>
      </c>
      <c r="C16" s="5" t="s">
        <v>72</v>
      </c>
      <c r="D16" s="15" t="s">
        <v>73</v>
      </c>
      <c r="E16" s="5" t="s">
        <v>51</v>
      </c>
      <c r="F16" s="5" t="s">
        <v>74</v>
      </c>
      <c r="G16" s="6">
        <v>33333.33</v>
      </c>
      <c r="H16" s="5" t="s">
        <v>75</v>
      </c>
      <c r="I16" s="5" t="s">
        <v>76</v>
      </c>
      <c r="J16" s="5" t="s">
        <v>3</v>
      </c>
    </row>
    <row r="17" ht="32" customHeight="1" spans="1:10" x14ac:dyDescent="0.25">
      <c r="A17" s="5">
        <v>13</v>
      </c>
      <c r="B17" s="5" t="s">
        <v>4</v>
      </c>
      <c r="C17" s="5" t="s">
        <v>77</v>
      </c>
      <c r="D17" s="15" t="s">
        <v>73</v>
      </c>
      <c r="E17" s="5" t="s">
        <v>51</v>
      </c>
      <c r="F17" s="5" t="s">
        <v>74</v>
      </c>
      <c r="G17" s="6">
        <v>22166.67</v>
      </c>
      <c r="H17" s="5" t="s">
        <v>78</v>
      </c>
      <c r="I17" s="5" t="s">
        <v>76</v>
      </c>
      <c r="J17" s="5" t="s">
        <v>3</v>
      </c>
    </row>
    <row r="18" ht="32" customHeight="1" spans="1:10" x14ac:dyDescent="0.25">
      <c r="A18" s="5">
        <v>14</v>
      </c>
      <c r="B18" s="5" t="s">
        <v>4</v>
      </c>
      <c r="C18" s="5" t="s">
        <v>79</v>
      </c>
      <c r="D18" s="15" t="s">
        <v>73</v>
      </c>
      <c r="E18" s="5" t="s">
        <v>51</v>
      </c>
      <c r="F18" s="5" t="s">
        <v>74</v>
      </c>
      <c r="G18" s="6">
        <v>17500</v>
      </c>
      <c r="H18" s="5" t="s">
        <v>80</v>
      </c>
      <c r="I18" s="5" t="s">
        <v>76</v>
      </c>
      <c r="J18" s="5" t="s">
        <v>3</v>
      </c>
    </row>
    <row r="19" ht="32" customHeight="1" spans="1:10" x14ac:dyDescent="0.25">
      <c r="A19" s="5">
        <v>15</v>
      </c>
      <c r="B19" s="5" t="s">
        <v>4</v>
      </c>
      <c r="C19" s="5" t="s">
        <v>81</v>
      </c>
      <c r="D19" s="23" t="s">
        <v>82</v>
      </c>
      <c r="E19" s="5" t="s">
        <v>83</v>
      </c>
      <c r="F19" s="5" t="s">
        <v>50</v>
      </c>
      <c r="G19" s="6">
        <v>95555.68</v>
      </c>
      <c r="H19" s="5" t="s">
        <v>46</v>
      </c>
      <c r="I19" s="5" t="s">
        <v>84</v>
      </c>
      <c r="J19" s="5" t="s">
        <v>3</v>
      </c>
    </row>
    <row r="20" ht="32" customHeight="1" spans="1:10" x14ac:dyDescent="0.25">
      <c r="A20" s="5">
        <v>16</v>
      </c>
      <c r="B20" s="5" t="s">
        <v>4</v>
      </c>
      <c r="C20" s="5" t="s">
        <v>85</v>
      </c>
      <c r="D20" s="23" t="s">
        <v>82</v>
      </c>
      <c r="E20" s="5" t="s">
        <v>74</v>
      </c>
      <c r="F20" s="5" t="s">
        <v>50</v>
      </c>
      <c r="G20" s="6">
        <v>35000</v>
      </c>
      <c r="H20" s="5" t="s">
        <v>86</v>
      </c>
      <c r="I20" s="5" t="s">
        <v>87</v>
      </c>
      <c r="J20" s="5" t="s">
        <v>3</v>
      </c>
    </row>
    <row r="21" ht="32" customHeight="1" spans="1:10" x14ac:dyDescent="0.25">
      <c r="A21" s="5">
        <v>17</v>
      </c>
      <c r="B21" s="5" t="s">
        <v>4</v>
      </c>
      <c r="C21" s="5" t="s">
        <v>88</v>
      </c>
      <c r="D21" s="23" t="s">
        <v>82</v>
      </c>
      <c r="E21" s="5" t="s">
        <v>74</v>
      </c>
      <c r="F21" s="5" t="s">
        <v>50</v>
      </c>
      <c r="G21" s="6">
        <v>30000</v>
      </c>
      <c r="H21" s="5" t="s">
        <v>46</v>
      </c>
      <c r="I21" s="5" t="s">
        <v>89</v>
      </c>
      <c r="J21" s="5" t="s">
        <v>3</v>
      </c>
    </row>
    <row r="22" ht="32" customHeight="1" spans="1:10" x14ac:dyDescent="0.25">
      <c r="A22" s="5">
        <v>18</v>
      </c>
      <c r="B22" s="5" t="s">
        <v>4</v>
      </c>
      <c r="C22" s="5" t="s">
        <v>90</v>
      </c>
      <c r="D22" s="23" t="s">
        <v>82</v>
      </c>
      <c r="E22" s="5" t="s">
        <v>56</v>
      </c>
      <c r="F22" s="5" t="s">
        <v>50</v>
      </c>
      <c r="G22" s="6">
        <v>24696.64</v>
      </c>
      <c r="H22" s="5" t="s">
        <v>46</v>
      </c>
      <c r="I22" s="5" t="s">
        <v>91</v>
      </c>
      <c r="J22" s="5" t="s">
        <v>3</v>
      </c>
    </row>
    <row r="23" ht="32" customHeight="1" spans="1:10" x14ac:dyDescent="0.25">
      <c r="A23" s="5">
        <v>19</v>
      </c>
      <c r="B23" s="5" t="s">
        <v>4</v>
      </c>
      <c r="C23" s="5" t="s">
        <v>92</v>
      </c>
      <c r="D23" s="23" t="s">
        <v>82</v>
      </c>
      <c r="E23" s="5" t="s">
        <v>93</v>
      </c>
      <c r="F23" s="5" t="s">
        <v>50</v>
      </c>
      <c r="G23" s="6">
        <v>19757.12</v>
      </c>
      <c r="H23" s="5" t="s">
        <v>46</v>
      </c>
      <c r="I23" s="5" t="s">
        <v>94</v>
      </c>
      <c r="J23" s="5" t="s">
        <v>3</v>
      </c>
    </row>
    <row r="24" ht="32" customHeight="1" spans="1:10" x14ac:dyDescent="0.25">
      <c r="A24" s="5">
        <v>20</v>
      </c>
      <c r="B24" s="5" t="s">
        <v>4</v>
      </c>
      <c r="C24" s="5" t="s">
        <v>95</v>
      </c>
      <c r="D24" s="23" t="s">
        <v>82</v>
      </c>
      <c r="E24" s="5" t="s">
        <v>93</v>
      </c>
      <c r="F24" s="5" t="s">
        <v>50</v>
      </c>
      <c r="G24" s="6">
        <v>13066.49</v>
      </c>
      <c r="H24" s="5" t="s">
        <v>46</v>
      </c>
      <c r="I24" s="5" t="s">
        <v>96</v>
      </c>
      <c r="J24" s="5" t="s">
        <v>3</v>
      </c>
    </row>
    <row r="25" ht="32" customHeight="1" spans="1:10" x14ac:dyDescent="0.25">
      <c r="A25" s="5">
        <v>21</v>
      </c>
      <c r="B25" s="5" t="s">
        <v>4</v>
      </c>
      <c r="C25" s="5" t="s">
        <v>97</v>
      </c>
      <c r="D25" s="23" t="s">
        <v>82</v>
      </c>
      <c r="E25" s="5" t="s">
        <v>93</v>
      </c>
      <c r="F25" s="5" t="s">
        <v>50</v>
      </c>
      <c r="G25" s="6">
        <v>3314</v>
      </c>
      <c r="H25" s="5" t="s">
        <v>46</v>
      </c>
      <c r="I25" s="5" t="s">
        <v>98</v>
      </c>
      <c r="J25" s="5" t="s">
        <v>3</v>
      </c>
    </row>
    <row r="26" ht="32" customHeight="1" spans="1:10" x14ac:dyDescent="0.25">
      <c r="A26" s="5">
        <v>22</v>
      </c>
      <c r="B26" s="5" t="s">
        <v>4</v>
      </c>
      <c r="C26" s="5" t="s">
        <v>99</v>
      </c>
      <c r="D26" s="23" t="s">
        <v>82</v>
      </c>
      <c r="E26" s="5" t="s">
        <v>93</v>
      </c>
      <c r="F26" s="5" t="s">
        <v>50</v>
      </c>
      <c r="G26" s="6">
        <v>2824.19</v>
      </c>
      <c r="H26" s="5" t="s">
        <v>46</v>
      </c>
      <c r="I26" s="5" t="s">
        <v>100</v>
      </c>
      <c r="J26" s="5" t="s">
        <v>3</v>
      </c>
    </row>
    <row r="27" ht="32" customHeight="1" spans="1:10" x14ac:dyDescent="0.25">
      <c r="A27" s="5">
        <v>23</v>
      </c>
      <c r="B27" s="5" t="s">
        <v>4</v>
      </c>
      <c r="C27" s="5" t="s">
        <v>101</v>
      </c>
      <c r="D27" s="23" t="s">
        <v>82</v>
      </c>
      <c r="E27" s="5" t="s">
        <v>83</v>
      </c>
      <c r="F27" s="5" t="s">
        <v>50</v>
      </c>
      <c r="G27" s="6">
        <v>2613</v>
      </c>
      <c r="H27" s="5" t="s">
        <v>46</v>
      </c>
      <c r="I27" s="5" t="s">
        <v>102</v>
      </c>
      <c r="J27" s="5" t="s">
        <v>3</v>
      </c>
    </row>
    <row r="28" ht="48" customHeight="1" spans="1:10" x14ac:dyDescent="0.25">
      <c r="A28" s="5">
        <v>24</v>
      </c>
      <c r="B28" s="5" t="s">
        <v>4</v>
      </c>
      <c r="C28" s="5" t="s">
        <v>103</v>
      </c>
      <c r="D28" s="11" t="s">
        <v>104</v>
      </c>
      <c r="E28" s="5" t="s">
        <v>105</v>
      </c>
      <c r="F28" s="5" t="s">
        <v>106</v>
      </c>
      <c r="G28" s="6">
        <v>60195.75</v>
      </c>
      <c r="H28" s="5" t="s">
        <v>46</v>
      </c>
      <c r="I28" s="5" t="s">
        <v>107</v>
      </c>
      <c r="J28" s="5" t="s">
        <v>3</v>
      </c>
    </row>
    <row r="29" ht="64" customHeight="1" spans="1:10" x14ac:dyDescent="0.25">
      <c r="A29" s="5">
        <v>25</v>
      </c>
      <c r="B29" s="5" t="s">
        <v>5</v>
      </c>
      <c r="C29" s="5" t="s">
        <v>108</v>
      </c>
      <c r="D29" s="22" t="s">
        <v>43</v>
      </c>
      <c r="E29" s="5" t="s">
        <v>109</v>
      </c>
      <c r="F29" s="5" t="s">
        <v>45</v>
      </c>
      <c r="G29" s="6">
        <v>40000</v>
      </c>
      <c r="H29" s="5" t="s">
        <v>46</v>
      </c>
      <c r="I29" s="5" t="s">
        <v>110</v>
      </c>
      <c r="J29" s="5" t="s">
        <v>3</v>
      </c>
    </row>
    <row r="30" ht="32" customHeight="1" spans="1:10" x14ac:dyDescent="0.25">
      <c r="A30" s="5">
        <v>26</v>
      </c>
      <c r="B30" s="5" t="s">
        <v>5</v>
      </c>
      <c r="C30" s="5" t="s">
        <v>55</v>
      </c>
      <c r="D30" s="22" t="s">
        <v>43</v>
      </c>
      <c r="E30" s="5" t="s">
        <v>111</v>
      </c>
      <c r="F30" s="5" t="s">
        <v>56</v>
      </c>
      <c r="G30" s="6">
        <v>20000</v>
      </c>
      <c r="H30" s="5" t="s">
        <v>112</v>
      </c>
      <c r="I30" s="5" t="s">
        <v>113</v>
      </c>
      <c r="J30" s="5" t="s">
        <v>3</v>
      </c>
    </row>
    <row r="31" ht="32" customHeight="1" spans="1:10" x14ac:dyDescent="0.25">
      <c r="A31" s="5">
        <v>27</v>
      </c>
      <c r="B31" s="5" t="s">
        <v>5</v>
      </c>
      <c r="C31" s="5" t="s">
        <v>114</v>
      </c>
      <c r="D31" s="22" t="s">
        <v>49</v>
      </c>
      <c r="E31" s="5" t="s">
        <v>50</v>
      </c>
      <c r="F31" s="5" t="s">
        <v>56</v>
      </c>
      <c r="G31" s="6">
        <v>25000</v>
      </c>
      <c r="H31" s="5" t="s">
        <v>115</v>
      </c>
      <c r="I31" s="5" t="s">
        <v>116</v>
      </c>
      <c r="J31" s="5" t="s">
        <v>3</v>
      </c>
    </row>
    <row r="32" ht="32" customHeight="1" spans="1:10" x14ac:dyDescent="0.25">
      <c r="A32" s="5">
        <v>28</v>
      </c>
      <c r="B32" s="5" t="s">
        <v>5</v>
      </c>
      <c r="C32" s="5" t="s">
        <v>117</v>
      </c>
      <c r="D32" s="22" t="s">
        <v>49</v>
      </c>
      <c r="E32" s="5" t="s">
        <v>50</v>
      </c>
      <c r="F32" s="5" t="s">
        <v>118</v>
      </c>
      <c r="G32" s="6">
        <v>1467.02</v>
      </c>
      <c r="H32" s="5" t="s">
        <v>119</v>
      </c>
      <c r="I32" s="5" t="s">
        <v>120</v>
      </c>
      <c r="J32" s="5" t="s">
        <v>3</v>
      </c>
    </row>
    <row r="33" ht="32" customHeight="1" spans="1:10" x14ac:dyDescent="0.25">
      <c r="A33" s="5">
        <v>29</v>
      </c>
      <c r="B33" s="5" t="s">
        <v>5</v>
      </c>
      <c r="C33" s="5" t="s">
        <v>121</v>
      </c>
      <c r="D33" s="15" t="s">
        <v>73</v>
      </c>
      <c r="E33" s="5" t="s">
        <v>122</v>
      </c>
      <c r="F33" s="5" t="s">
        <v>123</v>
      </c>
      <c r="G33" s="6">
        <v>35199</v>
      </c>
      <c r="H33" s="5" t="s">
        <v>124</v>
      </c>
      <c r="I33" s="5" t="s">
        <v>125</v>
      </c>
      <c r="J33" s="5" t="s">
        <v>3</v>
      </c>
    </row>
    <row r="34" ht="32" customHeight="1" spans="1:10" x14ac:dyDescent="0.25">
      <c r="A34" s="5">
        <v>30</v>
      </c>
      <c r="B34" s="5" t="s">
        <v>5</v>
      </c>
      <c r="C34" s="5" t="s">
        <v>126</v>
      </c>
      <c r="D34" s="15" t="s">
        <v>73</v>
      </c>
      <c r="E34" s="5" t="s">
        <v>51</v>
      </c>
      <c r="F34" s="5" t="s">
        <v>74</v>
      </c>
      <c r="G34" s="6">
        <v>30000</v>
      </c>
      <c r="H34" s="5" t="s">
        <v>127</v>
      </c>
      <c r="I34" s="5" t="s">
        <v>76</v>
      </c>
      <c r="J34" s="5" t="s">
        <v>3</v>
      </c>
    </row>
    <row r="35" ht="48" customHeight="1" spans="1:10" x14ac:dyDescent="0.25">
      <c r="A35" s="5">
        <v>31</v>
      </c>
      <c r="B35" s="5" t="s">
        <v>5</v>
      </c>
      <c r="C35" s="5" t="s">
        <v>128</v>
      </c>
      <c r="D35" s="15" t="s">
        <v>73</v>
      </c>
      <c r="E35" s="5" t="s">
        <v>51</v>
      </c>
      <c r="F35" s="5" t="s">
        <v>123</v>
      </c>
      <c r="G35" s="6">
        <v>26000</v>
      </c>
      <c r="H35" s="5" t="s">
        <v>129</v>
      </c>
      <c r="I35" s="5" t="s">
        <v>130</v>
      </c>
      <c r="J35" s="5" t="s">
        <v>3</v>
      </c>
    </row>
    <row r="36" ht="32" customHeight="1" spans="1:10" x14ac:dyDescent="0.25">
      <c r="A36" s="5">
        <v>32</v>
      </c>
      <c r="B36" s="5" t="s">
        <v>5</v>
      </c>
      <c r="C36" s="5" t="s">
        <v>131</v>
      </c>
      <c r="D36" s="15" t="s">
        <v>73</v>
      </c>
      <c r="E36" s="5" t="s">
        <v>122</v>
      </c>
      <c r="F36" s="5" t="s">
        <v>132</v>
      </c>
      <c r="G36" s="6">
        <v>20368.78</v>
      </c>
      <c r="H36" s="5" t="s">
        <v>133</v>
      </c>
      <c r="I36" s="5" t="s">
        <v>134</v>
      </c>
      <c r="J36" s="5" t="s">
        <v>3</v>
      </c>
    </row>
    <row r="37" ht="48" customHeight="1" spans="1:10" x14ac:dyDescent="0.25">
      <c r="A37" s="5">
        <v>33</v>
      </c>
      <c r="B37" s="5" t="s">
        <v>5</v>
      </c>
      <c r="C37" s="5" t="s">
        <v>72</v>
      </c>
      <c r="D37" s="15" t="s">
        <v>73</v>
      </c>
      <c r="E37" s="5" t="s">
        <v>51</v>
      </c>
      <c r="F37" s="5" t="s">
        <v>123</v>
      </c>
      <c r="G37" s="6">
        <v>20000</v>
      </c>
      <c r="H37" s="5" t="s">
        <v>135</v>
      </c>
      <c r="I37" s="5" t="s">
        <v>130</v>
      </c>
      <c r="J37" s="5" t="s">
        <v>3</v>
      </c>
    </row>
    <row r="38" ht="48" customHeight="1" spans="1:10" x14ac:dyDescent="0.25">
      <c r="A38" s="5">
        <v>34</v>
      </c>
      <c r="B38" s="5" t="s">
        <v>5</v>
      </c>
      <c r="C38" s="5" t="s">
        <v>136</v>
      </c>
      <c r="D38" s="15" t="s">
        <v>73</v>
      </c>
      <c r="E38" s="5" t="s">
        <v>51</v>
      </c>
      <c r="F38" s="5" t="s">
        <v>123</v>
      </c>
      <c r="G38" s="6">
        <v>19000</v>
      </c>
      <c r="H38" s="5" t="s">
        <v>137</v>
      </c>
      <c r="I38" s="5" t="s">
        <v>130</v>
      </c>
      <c r="J38" s="5" t="s">
        <v>3</v>
      </c>
    </row>
    <row r="39" ht="48" customHeight="1" spans="1:10" x14ac:dyDescent="0.25">
      <c r="A39" s="5">
        <v>35</v>
      </c>
      <c r="B39" s="5" t="s">
        <v>5</v>
      </c>
      <c r="C39" s="5" t="s">
        <v>53</v>
      </c>
      <c r="D39" s="15" t="s">
        <v>73</v>
      </c>
      <c r="E39" s="5" t="s">
        <v>51</v>
      </c>
      <c r="F39" s="5" t="s">
        <v>123</v>
      </c>
      <c r="G39" s="6">
        <v>19000</v>
      </c>
      <c r="H39" s="5" t="s">
        <v>127</v>
      </c>
      <c r="I39" s="5" t="s">
        <v>130</v>
      </c>
      <c r="J39" s="5" t="s">
        <v>3</v>
      </c>
    </row>
    <row r="40" ht="48" customHeight="1" spans="1:10" x14ac:dyDescent="0.25">
      <c r="A40" s="5">
        <v>36</v>
      </c>
      <c r="B40" s="5" t="s">
        <v>5</v>
      </c>
      <c r="C40" s="5" t="s">
        <v>138</v>
      </c>
      <c r="D40" s="15" t="s">
        <v>73</v>
      </c>
      <c r="E40" s="5" t="s">
        <v>51</v>
      </c>
      <c r="F40" s="5" t="s">
        <v>123</v>
      </c>
      <c r="G40" s="6">
        <v>17500</v>
      </c>
      <c r="H40" s="5" t="s">
        <v>139</v>
      </c>
      <c r="I40" s="5" t="s">
        <v>130</v>
      </c>
      <c r="J40" s="5" t="s">
        <v>3</v>
      </c>
    </row>
    <row r="41" ht="48" customHeight="1" spans="1:10" x14ac:dyDescent="0.25">
      <c r="A41" s="5">
        <v>37</v>
      </c>
      <c r="B41" s="5" t="s">
        <v>5</v>
      </c>
      <c r="C41" s="5" t="s">
        <v>140</v>
      </c>
      <c r="D41" s="15" t="s">
        <v>73</v>
      </c>
      <c r="E41" s="5" t="s">
        <v>51</v>
      </c>
      <c r="F41" s="5" t="s">
        <v>123</v>
      </c>
      <c r="G41" s="6">
        <v>7618.28</v>
      </c>
      <c r="H41" s="5" t="s">
        <v>141</v>
      </c>
      <c r="I41" s="5" t="s">
        <v>130</v>
      </c>
      <c r="J41" s="5" t="s">
        <v>3</v>
      </c>
    </row>
    <row r="42" ht="32" customHeight="1" spans="1:10" x14ac:dyDescent="0.25">
      <c r="A42" s="5">
        <v>38</v>
      </c>
      <c r="B42" s="5" t="s">
        <v>5</v>
      </c>
      <c r="C42" s="5" t="s">
        <v>81</v>
      </c>
      <c r="D42" s="23" t="s">
        <v>142</v>
      </c>
      <c r="E42" s="5" t="s">
        <v>50</v>
      </c>
      <c r="F42" s="5" t="s">
        <v>83</v>
      </c>
      <c r="G42" s="6">
        <v>95555.68</v>
      </c>
      <c r="H42" s="5" t="s">
        <v>46</v>
      </c>
      <c r="I42" s="5" t="s">
        <v>143</v>
      </c>
      <c r="J42" s="5" t="s">
        <v>3</v>
      </c>
    </row>
    <row r="43" ht="32" customHeight="1" spans="1:10" x14ac:dyDescent="0.25">
      <c r="A43" s="5">
        <v>39</v>
      </c>
      <c r="B43" s="5" t="s">
        <v>5</v>
      </c>
      <c r="C43" s="5" t="s">
        <v>81</v>
      </c>
      <c r="D43" s="23" t="s">
        <v>82</v>
      </c>
      <c r="E43" s="5" t="s">
        <v>83</v>
      </c>
      <c r="F43" s="5" t="s">
        <v>50</v>
      </c>
      <c r="G43" s="6">
        <v>88274.24</v>
      </c>
      <c r="H43" s="5" t="s">
        <v>144</v>
      </c>
      <c r="I43" s="5" t="s">
        <v>145</v>
      </c>
      <c r="J43" s="5" t="s">
        <v>3</v>
      </c>
    </row>
    <row r="44" ht="32" customHeight="1" spans="1:10" x14ac:dyDescent="0.25">
      <c r="A44" s="5">
        <v>40</v>
      </c>
      <c r="B44" s="5" t="s">
        <v>5</v>
      </c>
      <c r="C44" s="5" t="s">
        <v>146</v>
      </c>
      <c r="D44" s="23" t="s">
        <v>82</v>
      </c>
      <c r="E44" s="5" t="s">
        <v>147</v>
      </c>
      <c r="F44" s="5" t="s">
        <v>50</v>
      </c>
      <c r="G44" s="6">
        <v>23711.09</v>
      </c>
      <c r="H44" s="5" t="s">
        <v>46</v>
      </c>
      <c r="I44" s="5" t="s">
        <v>148</v>
      </c>
      <c r="J44" s="5" t="s">
        <v>3</v>
      </c>
    </row>
    <row r="45" ht="32" customHeight="1" spans="1:10" x14ac:dyDescent="0.25">
      <c r="A45" s="5">
        <v>41</v>
      </c>
      <c r="B45" s="5" t="s">
        <v>5</v>
      </c>
      <c r="C45" s="5" t="s">
        <v>149</v>
      </c>
      <c r="D45" s="23" t="s">
        <v>82</v>
      </c>
      <c r="E45" s="5" t="s">
        <v>93</v>
      </c>
      <c r="F45" s="5" t="s">
        <v>50</v>
      </c>
      <c r="G45" s="6">
        <v>10001</v>
      </c>
      <c r="H45" s="5" t="s">
        <v>46</v>
      </c>
      <c r="I45" s="5" t="s">
        <v>150</v>
      </c>
      <c r="J45" s="5" t="s">
        <v>3</v>
      </c>
    </row>
    <row r="46" ht="48" customHeight="1" spans="1:10" x14ac:dyDescent="0.25">
      <c r="A46" s="5">
        <v>42</v>
      </c>
      <c r="B46" s="5" t="s">
        <v>5</v>
      </c>
      <c r="C46" s="5" t="s">
        <v>151</v>
      </c>
      <c r="D46" s="23" t="s">
        <v>82</v>
      </c>
      <c r="E46" s="5" t="s">
        <v>152</v>
      </c>
      <c r="F46" s="5" t="s">
        <v>50</v>
      </c>
      <c r="G46" s="6">
        <v>3049.5</v>
      </c>
      <c r="H46" s="5" t="s">
        <v>153</v>
      </c>
      <c r="I46" s="5" t="s">
        <v>154</v>
      </c>
      <c r="J46" s="5" t="s">
        <v>3</v>
      </c>
    </row>
    <row r="47" ht="32" customHeight="1" spans="1:10" x14ac:dyDescent="0.25">
      <c r="A47" s="5">
        <v>43</v>
      </c>
      <c r="B47" s="5" t="s">
        <v>5</v>
      </c>
      <c r="C47" s="5" t="s">
        <v>155</v>
      </c>
      <c r="D47" s="23" t="s">
        <v>82</v>
      </c>
      <c r="E47" s="5" t="s">
        <v>152</v>
      </c>
      <c r="F47" s="5" t="s">
        <v>50</v>
      </c>
      <c r="G47" s="6">
        <v>609.08</v>
      </c>
      <c r="H47" s="5" t="s">
        <v>46</v>
      </c>
      <c r="I47" s="5" t="s">
        <v>156</v>
      </c>
      <c r="J47" s="5" t="s">
        <v>3</v>
      </c>
    </row>
    <row r="48" ht="48" customHeight="1" spans="1:10" x14ac:dyDescent="0.25">
      <c r="A48" s="5">
        <v>44</v>
      </c>
      <c r="B48" s="5" t="s">
        <v>5</v>
      </c>
      <c r="C48" s="5" t="s">
        <v>103</v>
      </c>
      <c r="D48" s="11" t="s">
        <v>104</v>
      </c>
      <c r="E48" s="5" t="s">
        <v>105</v>
      </c>
      <c r="F48" s="5" t="s">
        <v>106</v>
      </c>
      <c r="G48" s="6">
        <v>55287.77</v>
      </c>
      <c r="H48" s="5" t="s">
        <v>46</v>
      </c>
      <c r="I48" s="5" t="s">
        <v>157</v>
      </c>
      <c r="J48" s="5" t="s">
        <v>3</v>
      </c>
    </row>
    <row r="49" ht="32" customHeight="1" spans="1:10" x14ac:dyDescent="0.25">
      <c r="A49" s="5">
        <v>45</v>
      </c>
      <c r="B49" s="5" t="s">
        <v>6</v>
      </c>
      <c r="C49" s="5" t="s">
        <v>158</v>
      </c>
      <c r="D49" s="22" t="s">
        <v>43</v>
      </c>
      <c r="E49" s="5" t="s">
        <v>159</v>
      </c>
      <c r="F49" s="5" t="s">
        <v>74</v>
      </c>
      <c r="G49" s="6">
        <v>6524.94</v>
      </c>
      <c r="H49" s="5" t="s">
        <v>160</v>
      </c>
      <c r="I49" s="5" t="s">
        <v>161</v>
      </c>
      <c r="J49" s="5" t="s">
        <v>3</v>
      </c>
    </row>
    <row r="50" ht="48" customHeight="1" spans="1:10" x14ac:dyDescent="0.25">
      <c r="A50" s="5">
        <v>46</v>
      </c>
      <c r="B50" s="5" t="s">
        <v>6</v>
      </c>
      <c r="C50" s="5" t="s">
        <v>162</v>
      </c>
      <c r="D50" s="22" t="s">
        <v>43</v>
      </c>
      <c r="E50" s="5" t="s">
        <v>163</v>
      </c>
      <c r="F50" s="5" t="s">
        <v>93</v>
      </c>
      <c r="G50" s="6">
        <v>5400</v>
      </c>
      <c r="H50" s="5" t="s">
        <v>164</v>
      </c>
      <c r="I50" s="5" t="s">
        <v>165</v>
      </c>
      <c r="J50" s="5" t="s">
        <v>3</v>
      </c>
    </row>
    <row r="51" ht="48" customHeight="1" spans="1:10" x14ac:dyDescent="0.25">
      <c r="A51" s="5">
        <v>47</v>
      </c>
      <c r="B51" s="5" t="s">
        <v>6</v>
      </c>
      <c r="C51" s="5" t="s">
        <v>166</v>
      </c>
      <c r="D51" s="22" t="s">
        <v>43</v>
      </c>
      <c r="E51" s="5" t="s">
        <v>167</v>
      </c>
      <c r="F51" s="5" t="s">
        <v>168</v>
      </c>
      <c r="G51" s="6">
        <v>1797</v>
      </c>
      <c r="H51" s="5" t="s">
        <v>169</v>
      </c>
      <c r="I51" s="5" t="s">
        <v>170</v>
      </c>
      <c r="J51" s="5" t="s">
        <v>3</v>
      </c>
    </row>
    <row r="52" ht="48" customHeight="1" spans="1:10" x14ac:dyDescent="0.25">
      <c r="A52" s="5">
        <v>48</v>
      </c>
      <c r="B52" s="5" t="s">
        <v>6</v>
      </c>
      <c r="C52" s="5" t="s">
        <v>171</v>
      </c>
      <c r="D52" s="22" t="s">
        <v>43</v>
      </c>
      <c r="E52" s="5" t="s">
        <v>163</v>
      </c>
      <c r="F52" s="5" t="s">
        <v>56</v>
      </c>
      <c r="G52" s="6">
        <v>800</v>
      </c>
      <c r="H52" s="5" t="s">
        <v>46</v>
      </c>
      <c r="I52" s="5" t="s">
        <v>172</v>
      </c>
      <c r="J52" s="5" t="s">
        <v>3</v>
      </c>
    </row>
    <row r="53" ht="48" customHeight="1" spans="1:10" x14ac:dyDescent="0.25">
      <c r="A53" s="5">
        <v>49</v>
      </c>
      <c r="B53" s="5" t="s">
        <v>6</v>
      </c>
      <c r="C53" s="5" t="s">
        <v>173</v>
      </c>
      <c r="D53" s="22" t="s">
        <v>43</v>
      </c>
      <c r="E53" s="5" t="s">
        <v>163</v>
      </c>
      <c r="F53" s="5" t="s">
        <v>56</v>
      </c>
      <c r="G53" s="6">
        <v>800</v>
      </c>
      <c r="H53" s="5" t="s">
        <v>46</v>
      </c>
      <c r="I53" s="5" t="s">
        <v>172</v>
      </c>
      <c r="J53" s="5" t="s">
        <v>3</v>
      </c>
    </row>
    <row r="54" ht="32" customHeight="1" spans="1:10" x14ac:dyDescent="0.25">
      <c r="A54" s="5">
        <v>50</v>
      </c>
      <c r="B54" s="5" t="s">
        <v>6</v>
      </c>
      <c r="C54" s="5" t="s">
        <v>126</v>
      </c>
      <c r="D54" s="15" t="s">
        <v>73</v>
      </c>
      <c r="E54" s="5" t="s">
        <v>51</v>
      </c>
      <c r="F54" s="5" t="s">
        <v>74</v>
      </c>
      <c r="G54" s="6">
        <v>30000</v>
      </c>
      <c r="H54" s="5" t="s">
        <v>174</v>
      </c>
      <c r="I54" s="5" t="s">
        <v>76</v>
      </c>
      <c r="J54" s="5" t="s">
        <v>3</v>
      </c>
    </row>
    <row r="55" ht="32" customHeight="1" spans="1:10" x14ac:dyDescent="0.25">
      <c r="A55" s="5">
        <v>51</v>
      </c>
      <c r="B55" s="5" t="s">
        <v>6</v>
      </c>
      <c r="C55" s="5" t="s">
        <v>128</v>
      </c>
      <c r="D55" s="15" t="s">
        <v>73</v>
      </c>
      <c r="E55" s="5" t="s">
        <v>51</v>
      </c>
      <c r="F55" s="5" t="s">
        <v>74</v>
      </c>
      <c r="G55" s="6">
        <v>26000</v>
      </c>
      <c r="H55" s="5" t="s">
        <v>139</v>
      </c>
      <c r="I55" s="5" t="s">
        <v>76</v>
      </c>
      <c r="J55" s="5" t="s">
        <v>3</v>
      </c>
    </row>
    <row r="56" ht="32" customHeight="1" spans="1:10" x14ac:dyDescent="0.25">
      <c r="A56" s="5">
        <v>52</v>
      </c>
      <c r="B56" s="5" t="s">
        <v>6</v>
      </c>
      <c r="C56" s="5" t="s">
        <v>131</v>
      </c>
      <c r="D56" s="15" t="s">
        <v>73</v>
      </c>
      <c r="E56" s="5" t="s">
        <v>122</v>
      </c>
      <c r="F56" s="5" t="s">
        <v>132</v>
      </c>
      <c r="G56" s="6">
        <v>22501.95</v>
      </c>
      <c r="H56" s="5" t="s">
        <v>175</v>
      </c>
      <c r="I56" s="5" t="s">
        <v>134</v>
      </c>
      <c r="J56" s="5" t="s">
        <v>3</v>
      </c>
    </row>
    <row r="57" ht="32" customHeight="1" spans="1:10" x14ac:dyDescent="0.25">
      <c r="A57" s="5">
        <v>53</v>
      </c>
      <c r="B57" s="5" t="s">
        <v>6</v>
      </c>
      <c r="C57" s="5" t="s">
        <v>72</v>
      </c>
      <c r="D57" s="15" t="s">
        <v>73</v>
      </c>
      <c r="E57" s="5" t="s">
        <v>51</v>
      </c>
      <c r="F57" s="5" t="s">
        <v>74</v>
      </c>
      <c r="G57" s="6">
        <v>22000</v>
      </c>
      <c r="H57" s="5" t="s">
        <v>174</v>
      </c>
      <c r="I57" s="5" t="s">
        <v>76</v>
      </c>
      <c r="J57" s="5" t="s">
        <v>3</v>
      </c>
    </row>
    <row r="58" ht="32" customHeight="1" spans="1:10" x14ac:dyDescent="0.25">
      <c r="A58" s="5">
        <v>54</v>
      </c>
      <c r="B58" s="5" t="s">
        <v>6</v>
      </c>
      <c r="C58" s="5" t="s">
        <v>136</v>
      </c>
      <c r="D58" s="15" t="s">
        <v>73</v>
      </c>
      <c r="E58" s="5" t="s">
        <v>51</v>
      </c>
      <c r="F58" s="5" t="s">
        <v>74</v>
      </c>
      <c r="G58" s="6">
        <v>21280</v>
      </c>
      <c r="H58" s="5" t="s">
        <v>176</v>
      </c>
      <c r="I58" s="5" t="s">
        <v>76</v>
      </c>
      <c r="J58" s="5" t="s">
        <v>3</v>
      </c>
    </row>
    <row r="59" ht="32" customHeight="1" spans="1:10" x14ac:dyDescent="0.25">
      <c r="A59" s="5">
        <v>55</v>
      </c>
      <c r="B59" s="5" t="s">
        <v>6</v>
      </c>
      <c r="C59" s="5" t="s">
        <v>81</v>
      </c>
      <c r="D59" s="23" t="s">
        <v>142</v>
      </c>
      <c r="E59" s="5" t="s">
        <v>50</v>
      </c>
      <c r="F59" s="5" t="s">
        <v>83</v>
      </c>
      <c r="G59" s="6">
        <v>88274.24</v>
      </c>
      <c r="H59" s="5" t="s">
        <v>144</v>
      </c>
      <c r="I59" s="5" t="s">
        <v>177</v>
      </c>
      <c r="J59" s="5" t="s">
        <v>3</v>
      </c>
    </row>
    <row r="60" ht="48" customHeight="1" spans="1:10" x14ac:dyDescent="0.25">
      <c r="A60" s="5">
        <v>56</v>
      </c>
      <c r="B60" s="5" t="s">
        <v>6</v>
      </c>
      <c r="C60" s="5" t="s">
        <v>81</v>
      </c>
      <c r="D60" s="23" t="s">
        <v>82</v>
      </c>
      <c r="E60" s="5" t="s">
        <v>83</v>
      </c>
      <c r="F60" s="5" t="s">
        <v>50</v>
      </c>
      <c r="G60" s="6">
        <v>107383.44</v>
      </c>
      <c r="H60" s="5" t="s">
        <v>178</v>
      </c>
      <c r="I60" s="5" t="s">
        <v>179</v>
      </c>
      <c r="J60" s="5" t="s">
        <v>3</v>
      </c>
    </row>
    <row r="61" ht="32" customHeight="1" spans="1:10" x14ac:dyDescent="0.25">
      <c r="A61" s="5">
        <v>57</v>
      </c>
      <c r="B61" s="5" t="s">
        <v>6</v>
      </c>
      <c r="C61" s="5" t="s">
        <v>180</v>
      </c>
      <c r="D61" s="23" t="s">
        <v>82</v>
      </c>
      <c r="E61" s="5" t="s">
        <v>122</v>
      </c>
      <c r="F61" s="5" t="s">
        <v>50</v>
      </c>
      <c r="G61" s="6">
        <v>75911.26</v>
      </c>
      <c r="H61" s="5" t="s">
        <v>46</v>
      </c>
      <c r="I61" s="5" t="s">
        <v>181</v>
      </c>
      <c r="J61" s="5" t="s">
        <v>3</v>
      </c>
    </row>
    <row r="62" ht="32" customHeight="1" spans="1:10" x14ac:dyDescent="0.25">
      <c r="A62" s="5">
        <v>58</v>
      </c>
      <c r="B62" s="5" t="s">
        <v>6</v>
      </c>
      <c r="C62" s="5" t="s">
        <v>182</v>
      </c>
      <c r="D62" s="23" t="s">
        <v>82</v>
      </c>
      <c r="E62" s="5" t="s">
        <v>183</v>
      </c>
      <c r="F62" s="5" t="s">
        <v>50</v>
      </c>
      <c r="G62" s="6">
        <v>49131.91</v>
      </c>
      <c r="H62" s="5" t="s">
        <v>46</v>
      </c>
      <c r="I62" s="5" t="s">
        <v>184</v>
      </c>
      <c r="J62" s="5" t="s">
        <v>3</v>
      </c>
    </row>
    <row r="63" ht="32" customHeight="1" spans="1:10" x14ac:dyDescent="0.25">
      <c r="A63" s="5">
        <v>59</v>
      </c>
      <c r="B63" s="5" t="s">
        <v>6</v>
      </c>
      <c r="C63" s="5" t="s">
        <v>185</v>
      </c>
      <c r="D63" s="23" t="s">
        <v>82</v>
      </c>
      <c r="E63" s="5" t="s">
        <v>74</v>
      </c>
      <c r="F63" s="5" t="s">
        <v>50</v>
      </c>
      <c r="G63" s="6">
        <v>45000</v>
      </c>
      <c r="H63" s="5" t="s">
        <v>129</v>
      </c>
      <c r="I63" s="5" t="s">
        <v>186</v>
      </c>
      <c r="J63" s="5" t="s">
        <v>3</v>
      </c>
    </row>
    <row r="64" ht="32" customHeight="1" spans="1:10" x14ac:dyDescent="0.25">
      <c r="A64" s="5">
        <v>60</v>
      </c>
      <c r="B64" s="5" t="s">
        <v>6</v>
      </c>
      <c r="C64" s="5" t="s">
        <v>187</v>
      </c>
      <c r="D64" s="23" t="s">
        <v>82</v>
      </c>
      <c r="E64" s="5" t="s">
        <v>188</v>
      </c>
      <c r="F64" s="5" t="s">
        <v>50</v>
      </c>
      <c r="G64" s="6">
        <v>4782.25</v>
      </c>
      <c r="H64" s="5" t="s">
        <v>153</v>
      </c>
      <c r="I64" s="5" t="s">
        <v>189</v>
      </c>
      <c r="J64" s="5" t="s">
        <v>3</v>
      </c>
    </row>
    <row r="65" ht="32" customHeight="1" spans="1:10" x14ac:dyDescent="0.25">
      <c r="A65" s="5">
        <v>61</v>
      </c>
      <c r="B65" s="5" t="s">
        <v>6</v>
      </c>
      <c r="C65" s="5" t="s">
        <v>190</v>
      </c>
      <c r="D65" s="23" t="s">
        <v>82</v>
      </c>
      <c r="E65" s="5" t="s">
        <v>93</v>
      </c>
      <c r="F65" s="5" t="s">
        <v>50</v>
      </c>
      <c r="G65" s="6">
        <v>2281.16</v>
      </c>
      <c r="H65" s="5" t="s">
        <v>153</v>
      </c>
      <c r="I65" s="5" t="s">
        <v>191</v>
      </c>
      <c r="J65" s="5" t="s">
        <v>3</v>
      </c>
    </row>
    <row r="66" ht="48" customHeight="1" spans="1:10" x14ac:dyDescent="0.25">
      <c r="A66" s="5">
        <v>62</v>
      </c>
      <c r="B66" s="5" t="s">
        <v>6</v>
      </c>
      <c r="C66" s="5" t="s">
        <v>103</v>
      </c>
      <c r="D66" s="11" t="s">
        <v>104</v>
      </c>
      <c r="E66" s="5" t="s">
        <v>105</v>
      </c>
      <c r="F66" s="5" t="s">
        <v>106</v>
      </c>
      <c r="G66" s="6">
        <v>65259.88</v>
      </c>
      <c r="H66" s="5" t="s">
        <v>46</v>
      </c>
      <c r="I66" s="5" t="s">
        <v>192</v>
      </c>
      <c r="J66" s="5" t="s">
        <v>3</v>
      </c>
    </row>
    <row r="67" ht="32" customHeight="1" spans="1:10" x14ac:dyDescent="0.25">
      <c r="A67" s="5">
        <v>63</v>
      </c>
      <c r="B67" s="5" t="s">
        <v>7</v>
      </c>
      <c r="C67" s="5" t="s">
        <v>85</v>
      </c>
      <c r="D67" s="15" t="s">
        <v>73</v>
      </c>
      <c r="E67" s="5" t="s">
        <v>51</v>
      </c>
      <c r="F67" s="5" t="s">
        <v>74</v>
      </c>
      <c r="G67" s="6">
        <v>35000</v>
      </c>
      <c r="H67" s="5" t="s">
        <v>46</v>
      </c>
      <c r="I67" s="5" t="s">
        <v>193</v>
      </c>
      <c r="J67" s="5" t="s">
        <v>3</v>
      </c>
    </row>
    <row r="68" ht="32" customHeight="1" spans="1:10" x14ac:dyDescent="0.25">
      <c r="A68" s="5">
        <v>64</v>
      </c>
      <c r="B68" s="5" t="s">
        <v>7</v>
      </c>
      <c r="C68" s="5" t="s">
        <v>126</v>
      </c>
      <c r="D68" s="15" t="s">
        <v>73</v>
      </c>
      <c r="E68" s="5" t="s">
        <v>51</v>
      </c>
      <c r="F68" s="5" t="s">
        <v>74</v>
      </c>
      <c r="G68" s="6">
        <v>30000</v>
      </c>
      <c r="H68" s="5" t="s">
        <v>194</v>
      </c>
      <c r="I68" s="5" t="s">
        <v>76</v>
      </c>
      <c r="J68" s="5" t="s">
        <v>3</v>
      </c>
    </row>
    <row r="69" ht="32" customHeight="1" spans="1:10" x14ac:dyDescent="0.25">
      <c r="A69" s="5">
        <v>65</v>
      </c>
      <c r="B69" s="5" t="s">
        <v>7</v>
      </c>
      <c r="C69" s="5" t="s">
        <v>131</v>
      </c>
      <c r="D69" s="15" t="s">
        <v>73</v>
      </c>
      <c r="E69" s="5" t="s">
        <v>122</v>
      </c>
      <c r="F69" s="5" t="s">
        <v>132</v>
      </c>
      <c r="G69" s="6">
        <v>28087.17</v>
      </c>
      <c r="H69" s="5" t="s">
        <v>195</v>
      </c>
      <c r="I69" s="5" t="s">
        <v>134</v>
      </c>
      <c r="J69" s="5" t="s">
        <v>3</v>
      </c>
    </row>
    <row r="70" ht="32" customHeight="1" spans="1:10" x14ac:dyDescent="0.25">
      <c r="A70" s="5">
        <v>66</v>
      </c>
      <c r="B70" s="5" t="s">
        <v>7</v>
      </c>
      <c r="C70" s="5" t="s">
        <v>128</v>
      </c>
      <c r="D70" s="15" t="s">
        <v>73</v>
      </c>
      <c r="E70" s="5" t="s">
        <v>51</v>
      </c>
      <c r="F70" s="5" t="s">
        <v>74</v>
      </c>
      <c r="G70" s="6">
        <v>26000</v>
      </c>
      <c r="H70" s="5" t="s">
        <v>127</v>
      </c>
      <c r="I70" s="5" t="s">
        <v>76</v>
      </c>
      <c r="J70" s="5" t="s">
        <v>3</v>
      </c>
    </row>
    <row r="71" ht="32" customHeight="1" spans="1:10" x14ac:dyDescent="0.25">
      <c r="A71" s="5">
        <v>67</v>
      </c>
      <c r="B71" s="5" t="s">
        <v>7</v>
      </c>
      <c r="C71" s="5" t="s">
        <v>72</v>
      </c>
      <c r="D71" s="15" t="s">
        <v>73</v>
      </c>
      <c r="E71" s="5" t="s">
        <v>51</v>
      </c>
      <c r="F71" s="5" t="s">
        <v>74</v>
      </c>
      <c r="G71" s="6">
        <v>22000</v>
      </c>
      <c r="H71" s="5" t="s">
        <v>194</v>
      </c>
      <c r="I71" s="5" t="s">
        <v>76</v>
      </c>
      <c r="J71" s="5" t="s">
        <v>3</v>
      </c>
    </row>
    <row r="72" ht="32" customHeight="1" spans="1:10" x14ac:dyDescent="0.25">
      <c r="A72" s="5">
        <v>68</v>
      </c>
      <c r="B72" s="5" t="s">
        <v>7</v>
      </c>
      <c r="C72" s="5" t="s">
        <v>79</v>
      </c>
      <c r="D72" s="15" t="s">
        <v>73</v>
      </c>
      <c r="E72" s="5" t="s">
        <v>51</v>
      </c>
      <c r="F72" s="5" t="s">
        <v>74</v>
      </c>
      <c r="G72" s="6">
        <v>17500</v>
      </c>
      <c r="H72" s="5" t="s">
        <v>196</v>
      </c>
      <c r="I72" s="5" t="s">
        <v>76</v>
      </c>
      <c r="J72" s="5" t="s">
        <v>3</v>
      </c>
    </row>
    <row r="73" ht="32" customHeight="1" spans="1:10" x14ac:dyDescent="0.25">
      <c r="A73" s="5">
        <v>69</v>
      </c>
      <c r="B73" s="5" t="s">
        <v>7</v>
      </c>
      <c r="C73" s="5" t="s">
        <v>197</v>
      </c>
      <c r="D73" s="15" t="s">
        <v>73</v>
      </c>
      <c r="E73" s="5" t="s">
        <v>51</v>
      </c>
      <c r="F73" s="5" t="s">
        <v>74</v>
      </c>
      <c r="G73" s="6">
        <v>13500</v>
      </c>
      <c r="H73" s="5" t="s">
        <v>198</v>
      </c>
      <c r="I73" s="5" t="s">
        <v>76</v>
      </c>
      <c r="J73" s="5" t="s">
        <v>3</v>
      </c>
    </row>
    <row r="74" ht="32" customHeight="1" spans="1:10" x14ac:dyDescent="0.25">
      <c r="A74" s="5">
        <v>70</v>
      </c>
      <c r="B74" s="5" t="s">
        <v>7</v>
      </c>
      <c r="C74" s="5" t="s">
        <v>199</v>
      </c>
      <c r="D74" s="15" t="s">
        <v>73</v>
      </c>
      <c r="E74" s="5" t="s">
        <v>122</v>
      </c>
      <c r="F74" s="5" t="s">
        <v>132</v>
      </c>
      <c r="G74" s="6">
        <v>11703.04</v>
      </c>
      <c r="H74" s="5" t="s">
        <v>200</v>
      </c>
      <c r="I74" s="5" t="s">
        <v>134</v>
      </c>
      <c r="J74" s="5" t="s">
        <v>3</v>
      </c>
    </row>
    <row r="75" ht="32" customHeight="1" spans="1:10" x14ac:dyDescent="0.25">
      <c r="A75" s="5">
        <v>71</v>
      </c>
      <c r="B75" s="5" t="s">
        <v>7</v>
      </c>
      <c r="C75" s="5" t="s">
        <v>81</v>
      </c>
      <c r="D75" s="23" t="s">
        <v>142</v>
      </c>
      <c r="E75" s="5" t="s">
        <v>50</v>
      </c>
      <c r="F75" s="5" t="s">
        <v>83</v>
      </c>
      <c r="G75" s="6">
        <v>107383.44</v>
      </c>
      <c r="H75" s="5" t="s">
        <v>178</v>
      </c>
      <c r="I75" s="5" t="s">
        <v>201</v>
      </c>
      <c r="J75" s="5" t="s">
        <v>3</v>
      </c>
    </row>
    <row r="76" ht="32" customHeight="1" spans="1:10" x14ac:dyDescent="0.25">
      <c r="A76" s="5">
        <v>72</v>
      </c>
      <c r="B76" s="5" t="s">
        <v>7</v>
      </c>
      <c r="C76" s="5" t="s">
        <v>180</v>
      </c>
      <c r="D76" s="23" t="s">
        <v>142</v>
      </c>
      <c r="E76" s="5" t="s">
        <v>50</v>
      </c>
      <c r="F76" s="5" t="s">
        <v>122</v>
      </c>
      <c r="G76" s="6">
        <v>75911.26</v>
      </c>
      <c r="H76" s="5" t="s">
        <v>46</v>
      </c>
      <c r="I76" s="5" t="s">
        <v>202</v>
      </c>
      <c r="J76" s="5" t="s">
        <v>3</v>
      </c>
    </row>
    <row r="77" ht="32" customHeight="1" spans="1:10" x14ac:dyDescent="0.25">
      <c r="A77" s="5">
        <v>73</v>
      </c>
      <c r="B77" s="5" t="s">
        <v>7</v>
      </c>
      <c r="C77" s="5" t="s">
        <v>185</v>
      </c>
      <c r="D77" s="23" t="s">
        <v>142</v>
      </c>
      <c r="E77" s="5" t="s">
        <v>50</v>
      </c>
      <c r="F77" s="5" t="s">
        <v>74</v>
      </c>
      <c r="G77" s="6">
        <v>45000</v>
      </c>
      <c r="H77" s="5" t="s">
        <v>129</v>
      </c>
      <c r="I77" s="5" t="s">
        <v>203</v>
      </c>
      <c r="J77" s="5" t="s">
        <v>3</v>
      </c>
    </row>
    <row r="78" ht="32" customHeight="1" spans="1:10" x14ac:dyDescent="0.25">
      <c r="A78" s="5">
        <v>74</v>
      </c>
      <c r="B78" s="5" t="s">
        <v>7</v>
      </c>
      <c r="C78" s="5" t="s">
        <v>85</v>
      </c>
      <c r="D78" s="23" t="s">
        <v>142</v>
      </c>
      <c r="E78" s="5" t="s">
        <v>50</v>
      </c>
      <c r="F78" s="5" t="s">
        <v>74</v>
      </c>
      <c r="G78" s="6">
        <v>35000</v>
      </c>
      <c r="H78" s="5" t="s">
        <v>86</v>
      </c>
      <c r="I78" s="5" t="s">
        <v>204</v>
      </c>
      <c r="J78" s="5" t="s">
        <v>3</v>
      </c>
    </row>
    <row r="79" ht="48" customHeight="1" spans="1:10" x14ac:dyDescent="0.25">
      <c r="A79" s="5">
        <v>75</v>
      </c>
      <c r="B79" s="5" t="s">
        <v>7</v>
      </c>
      <c r="C79" s="5" t="s">
        <v>151</v>
      </c>
      <c r="D79" s="23" t="s">
        <v>142</v>
      </c>
      <c r="E79" s="5" t="s">
        <v>50</v>
      </c>
      <c r="F79" s="5" t="s">
        <v>152</v>
      </c>
      <c r="G79" s="6">
        <v>3049.5</v>
      </c>
      <c r="H79" s="5" t="s">
        <v>153</v>
      </c>
      <c r="I79" s="5" t="s">
        <v>205</v>
      </c>
      <c r="J79" s="5" t="s">
        <v>3</v>
      </c>
    </row>
    <row r="80" ht="32" customHeight="1" spans="1:10" x14ac:dyDescent="0.25">
      <c r="A80" s="5">
        <v>76</v>
      </c>
      <c r="B80" s="5" t="s">
        <v>7</v>
      </c>
      <c r="C80" s="5" t="s">
        <v>155</v>
      </c>
      <c r="D80" s="23" t="s">
        <v>142</v>
      </c>
      <c r="E80" s="5" t="s">
        <v>50</v>
      </c>
      <c r="F80" s="5" t="s">
        <v>152</v>
      </c>
      <c r="G80" s="6">
        <v>609.08</v>
      </c>
      <c r="H80" s="5" t="s">
        <v>46</v>
      </c>
      <c r="I80" s="5" t="s">
        <v>206</v>
      </c>
      <c r="J80" s="5" t="s">
        <v>3</v>
      </c>
    </row>
    <row r="81" ht="48" customHeight="1" spans="1:10" x14ac:dyDescent="0.25">
      <c r="A81" s="5">
        <v>77</v>
      </c>
      <c r="B81" s="5" t="s">
        <v>7</v>
      </c>
      <c r="C81" s="5" t="s">
        <v>81</v>
      </c>
      <c r="D81" s="23" t="s">
        <v>82</v>
      </c>
      <c r="E81" s="5" t="s">
        <v>83</v>
      </c>
      <c r="F81" s="5" t="s">
        <v>50</v>
      </c>
      <c r="G81" s="6">
        <v>106079.87</v>
      </c>
      <c r="H81" s="5" t="s">
        <v>207</v>
      </c>
      <c r="I81" s="5" t="s">
        <v>208</v>
      </c>
      <c r="J81" s="5" t="s">
        <v>3</v>
      </c>
    </row>
    <row r="82" ht="32" customHeight="1" spans="1:10" x14ac:dyDescent="0.25">
      <c r="A82" s="5">
        <v>78</v>
      </c>
      <c r="B82" s="5" t="s">
        <v>7</v>
      </c>
      <c r="C82" s="5" t="s">
        <v>88</v>
      </c>
      <c r="D82" s="23" t="s">
        <v>82</v>
      </c>
      <c r="E82" s="5" t="s">
        <v>74</v>
      </c>
      <c r="F82" s="5" t="s">
        <v>50</v>
      </c>
      <c r="G82" s="6">
        <v>31278</v>
      </c>
      <c r="H82" s="5" t="s">
        <v>46</v>
      </c>
      <c r="I82" s="5" t="s">
        <v>209</v>
      </c>
      <c r="J82" s="5" t="s">
        <v>3</v>
      </c>
    </row>
    <row r="83" ht="48" customHeight="1" spans="1:10" x14ac:dyDescent="0.25">
      <c r="A83" s="5">
        <v>79</v>
      </c>
      <c r="B83" s="5" t="s">
        <v>7</v>
      </c>
      <c r="C83" s="5" t="s">
        <v>103</v>
      </c>
      <c r="D83" s="11" t="s">
        <v>104</v>
      </c>
      <c r="E83" s="5" t="s">
        <v>105</v>
      </c>
      <c r="F83" s="5" t="s">
        <v>106</v>
      </c>
      <c r="G83" s="6">
        <v>64434.06</v>
      </c>
      <c r="H83" s="5" t="s">
        <v>46</v>
      </c>
      <c r="I83" s="5" t="s">
        <v>210</v>
      </c>
      <c r="J83" s="5" t="s">
        <v>3</v>
      </c>
    </row>
    <row r="84" ht="48" customHeight="1" spans="1:10" x14ac:dyDescent="0.25">
      <c r="A84" s="5">
        <v>80</v>
      </c>
      <c r="B84" s="5" t="s">
        <v>8</v>
      </c>
      <c r="C84" s="5" t="s">
        <v>211</v>
      </c>
      <c r="D84" s="22" t="s">
        <v>43</v>
      </c>
      <c r="E84" s="5" t="s">
        <v>212</v>
      </c>
      <c r="F84" s="5" t="s">
        <v>93</v>
      </c>
      <c r="G84" s="6">
        <v>112665.36</v>
      </c>
      <c r="H84" s="5" t="s">
        <v>213</v>
      </c>
      <c r="I84" s="5" t="s">
        <v>214</v>
      </c>
      <c r="J84" s="5" t="s">
        <v>3</v>
      </c>
    </row>
    <row r="85" ht="32" customHeight="1" spans="1:10" x14ac:dyDescent="0.25">
      <c r="A85" s="5">
        <v>81</v>
      </c>
      <c r="B85" s="5" t="s">
        <v>8</v>
      </c>
      <c r="C85" s="5" t="s">
        <v>215</v>
      </c>
      <c r="D85" s="22" t="s">
        <v>43</v>
      </c>
      <c r="E85" s="5" t="s">
        <v>212</v>
      </c>
      <c r="F85" s="5" t="s">
        <v>93</v>
      </c>
      <c r="G85" s="6">
        <v>56613.97</v>
      </c>
      <c r="H85" s="5" t="s">
        <v>216</v>
      </c>
      <c r="I85" s="5" t="s">
        <v>217</v>
      </c>
      <c r="J85" s="5" t="s">
        <v>3</v>
      </c>
    </row>
    <row r="86" ht="32" customHeight="1" spans="1:10" x14ac:dyDescent="0.25">
      <c r="A86" s="5">
        <v>82</v>
      </c>
      <c r="B86" s="5" t="s">
        <v>8</v>
      </c>
      <c r="C86" s="5" t="s">
        <v>218</v>
      </c>
      <c r="D86" s="22" t="s">
        <v>49</v>
      </c>
      <c r="E86" s="5" t="s">
        <v>50</v>
      </c>
      <c r="F86" s="5" t="s">
        <v>74</v>
      </c>
      <c r="G86" s="6">
        <v>13500</v>
      </c>
      <c r="H86" s="5" t="s">
        <v>46</v>
      </c>
      <c r="I86" s="5" t="s">
        <v>219</v>
      </c>
      <c r="J86" s="5" t="s">
        <v>3</v>
      </c>
    </row>
    <row r="87" ht="32" customHeight="1" spans="1:10" x14ac:dyDescent="0.25">
      <c r="A87" s="5">
        <v>83</v>
      </c>
      <c r="B87" s="5" t="s">
        <v>8</v>
      </c>
      <c r="C87" s="5" t="s">
        <v>220</v>
      </c>
      <c r="D87" s="22" t="s">
        <v>49</v>
      </c>
      <c r="E87" s="5" t="s">
        <v>50</v>
      </c>
      <c r="F87" s="5" t="s">
        <v>74</v>
      </c>
      <c r="G87" s="6">
        <v>7200</v>
      </c>
      <c r="H87" s="5" t="s">
        <v>46</v>
      </c>
      <c r="I87" s="5" t="s">
        <v>221</v>
      </c>
      <c r="J87" s="5" t="s">
        <v>3</v>
      </c>
    </row>
    <row r="88" ht="32" customHeight="1" spans="1:10" x14ac:dyDescent="0.25">
      <c r="A88" s="5">
        <v>84</v>
      </c>
      <c r="B88" s="5" t="s">
        <v>8</v>
      </c>
      <c r="C88" s="5" t="s">
        <v>222</v>
      </c>
      <c r="D88" s="22" t="s">
        <v>49</v>
      </c>
      <c r="E88" s="5" t="s">
        <v>50</v>
      </c>
      <c r="F88" s="5" t="s">
        <v>51</v>
      </c>
      <c r="G88" s="6">
        <v>6906</v>
      </c>
      <c r="H88" s="5" t="s">
        <v>223</v>
      </c>
      <c r="I88" s="5" t="s">
        <v>224</v>
      </c>
      <c r="J88" s="5" t="s">
        <v>3</v>
      </c>
    </row>
    <row r="89" ht="32" customHeight="1" spans="1:10" x14ac:dyDescent="0.25">
      <c r="A89" s="5">
        <v>85</v>
      </c>
      <c r="B89" s="5" t="s">
        <v>8</v>
      </c>
      <c r="C89" s="5" t="s">
        <v>225</v>
      </c>
      <c r="D89" s="22" t="s">
        <v>49</v>
      </c>
      <c r="E89" s="5" t="s">
        <v>50</v>
      </c>
      <c r="F89" s="5" t="s">
        <v>74</v>
      </c>
      <c r="G89" s="6">
        <v>5932.5</v>
      </c>
      <c r="H89" s="5" t="s">
        <v>46</v>
      </c>
      <c r="I89" s="5" t="s">
        <v>226</v>
      </c>
      <c r="J89" s="5" t="s">
        <v>3</v>
      </c>
    </row>
    <row r="90" ht="32" customHeight="1" spans="1:10" x14ac:dyDescent="0.25">
      <c r="A90" s="5">
        <v>86</v>
      </c>
      <c r="B90" s="5" t="s">
        <v>8</v>
      </c>
      <c r="C90" s="5" t="s">
        <v>227</v>
      </c>
      <c r="D90" s="22" t="s">
        <v>49</v>
      </c>
      <c r="E90" s="5" t="s">
        <v>50</v>
      </c>
      <c r="F90" s="5" t="s">
        <v>74</v>
      </c>
      <c r="G90" s="6">
        <v>5775</v>
      </c>
      <c r="H90" s="5" t="s">
        <v>46</v>
      </c>
      <c r="I90" s="5" t="s">
        <v>228</v>
      </c>
      <c r="J90" s="5" t="s">
        <v>3</v>
      </c>
    </row>
    <row r="91" ht="32" customHeight="1" spans="1:10" x14ac:dyDescent="0.25">
      <c r="A91" s="5">
        <v>87</v>
      </c>
      <c r="B91" s="5" t="s">
        <v>8</v>
      </c>
      <c r="C91" s="5" t="s">
        <v>229</v>
      </c>
      <c r="D91" s="22" t="s">
        <v>49</v>
      </c>
      <c r="E91" s="5" t="s">
        <v>50</v>
      </c>
      <c r="F91" s="5" t="s">
        <v>74</v>
      </c>
      <c r="G91" s="6">
        <v>4840</v>
      </c>
      <c r="H91" s="5" t="s">
        <v>46</v>
      </c>
      <c r="I91" s="5" t="s">
        <v>230</v>
      </c>
      <c r="J91" s="5" t="s">
        <v>3</v>
      </c>
    </row>
    <row r="92" ht="32" customHeight="1" spans="1:10" x14ac:dyDescent="0.25">
      <c r="A92" s="5">
        <v>88</v>
      </c>
      <c r="B92" s="5" t="s">
        <v>8</v>
      </c>
      <c r="C92" s="5" t="s">
        <v>231</v>
      </c>
      <c r="D92" s="22" t="s">
        <v>49</v>
      </c>
      <c r="E92" s="5" t="s">
        <v>50</v>
      </c>
      <c r="F92" s="5" t="s">
        <v>51</v>
      </c>
      <c r="G92" s="6">
        <v>3780</v>
      </c>
      <c r="H92" s="5" t="s">
        <v>46</v>
      </c>
      <c r="I92" s="5" t="s">
        <v>232</v>
      </c>
      <c r="J92" s="5" t="s">
        <v>3</v>
      </c>
    </row>
    <row r="93" ht="32" customHeight="1" spans="1:10" x14ac:dyDescent="0.25">
      <c r="A93" s="5">
        <v>89</v>
      </c>
      <c r="B93" s="5" t="s">
        <v>8</v>
      </c>
      <c r="C93" s="5" t="s">
        <v>233</v>
      </c>
      <c r="D93" s="22" t="s">
        <v>49</v>
      </c>
      <c r="E93" s="5" t="s">
        <v>50</v>
      </c>
      <c r="F93" s="5" t="s">
        <v>234</v>
      </c>
      <c r="G93" s="6">
        <v>3000</v>
      </c>
      <c r="H93" s="5" t="s">
        <v>46</v>
      </c>
      <c r="I93" s="5" t="s">
        <v>235</v>
      </c>
      <c r="J93" s="5" t="s">
        <v>3</v>
      </c>
    </row>
    <row r="94" ht="32" customHeight="1" spans="1:10" x14ac:dyDescent="0.25">
      <c r="A94" s="5">
        <v>90</v>
      </c>
      <c r="B94" s="5" t="s">
        <v>8</v>
      </c>
      <c r="C94" s="5" t="s">
        <v>236</v>
      </c>
      <c r="D94" s="22" t="s">
        <v>49</v>
      </c>
      <c r="E94" s="5" t="s">
        <v>50</v>
      </c>
      <c r="F94" s="5" t="s">
        <v>234</v>
      </c>
      <c r="G94" s="6">
        <v>3000</v>
      </c>
      <c r="H94" s="5" t="s">
        <v>46</v>
      </c>
      <c r="I94" s="5" t="s">
        <v>235</v>
      </c>
      <c r="J94" s="5" t="s">
        <v>3</v>
      </c>
    </row>
    <row r="95" ht="32" customHeight="1" spans="1:10" x14ac:dyDescent="0.25">
      <c r="A95" s="5">
        <v>91</v>
      </c>
      <c r="B95" s="5" t="s">
        <v>8</v>
      </c>
      <c r="C95" s="5" t="s">
        <v>237</v>
      </c>
      <c r="D95" s="22" t="s">
        <v>49</v>
      </c>
      <c r="E95" s="5" t="s">
        <v>50</v>
      </c>
      <c r="F95" s="5" t="s">
        <v>234</v>
      </c>
      <c r="G95" s="6">
        <v>3000</v>
      </c>
      <c r="H95" s="5" t="s">
        <v>46</v>
      </c>
      <c r="I95" s="5" t="s">
        <v>235</v>
      </c>
      <c r="J95" s="5" t="s">
        <v>3</v>
      </c>
    </row>
    <row r="96" ht="32" customHeight="1" spans="1:10" x14ac:dyDescent="0.25">
      <c r="A96" s="5">
        <v>92</v>
      </c>
      <c r="B96" s="5" t="s">
        <v>8</v>
      </c>
      <c r="C96" s="5" t="s">
        <v>238</v>
      </c>
      <c r="D96" s="22" t="s">
        <v>49</v>
      </c>
      <c r="E96" s="5" t="s">
        <v>50</v>
      </c>
      <c r="F96" s="5" t="s">
        <v>234</v>
      </c>
      <c r="G96" s="6">
        <v>2500</v>
      </c>
      <c r="H96" s="5" t="s">
        <v>46</v>
      </c>
      <c r="I96" s="5" t="s">
        <v>239</v>
      </c>
      <c r="J96" s="5" t="s">
        <v>3</v>
      </c>
    </row>
    <row r="97" ht="32" customHeight="1" spans="1:10" x14ac:dyDescent="0.25">
      <c r="A97" s="5">
        <v>93</v>
      </c>
      <c r="B97" s="5" t="s">
        <v>8</v>
      </c>
      <c r="C97" s="5" t="s">
        <v>240</v>
      </c>
      <c r="D97" s="22" t="s">
        <v>49</v>
      </c>
      <c r="E97" s="5" t="s">
        <v>50</v>
      </c>
      <c r="F97" s="5" t="s">
        <v>234</v>
      </c>
      <c r="G97" s="6">
        <v>2000</v>
      </c>
      <c r="H97" s="5" t="s">
        <v>46</v>
      </c>
      <c r="I97" s="5" t="s">
        <v>241</v>
      </c>
      <c r="J97" s="5" t="s">
        <v>3</v>
      </c>
    </row>
    <row r="98" ht="32" customHeight="1" spans="1:10" x14ac:dyDescent="0.25">
      <c r="A98" s="5">
        <v>94</v>
      </c>
      <c r="B98" s="5" t="s">
        <v>8</v>
      </c>
      <c r="C98" s="5" t="s">
        <v>242</v>
      </c>
      <c r="D98" s="22" t="s">
        <v>49</v>
      </c>
      <c r="E98" s="5" t="s">
        <v>50</v>
      </c>
      <c r="F98" s="5" t="s">
        <v>234</v>
      </c>
      <c r="G98" s="6">
        <v>1555</v>
      </c>
      <c r="H98" s="5" t="s">
        <v>46</v>
      </c>
      <c r="I98" s="5" t="s">
        <v>243</v>
      </c>
      <c r="J98" s="5" t="s">
        <v>3</v>
      </c>
    </row>
    <row r="99" ht="32" customHeight="1" spans="1:10" x14ac:dyDescent="0.25">
      <c r="A99" s="5">
        <v>95</v>
      </c>
      <c r="B99" s="5" t="s">
        <v>8</v>
      </c>
      <c r="C99" s="5" t="s">
        <v>244</v>
      </c>
      <c r="D99" s="22" t="s">
        <v>49</v>
      </c>
      <c r="E99" s="5" t="s">
        <v>50</v>
      </c>
      <c r="F99" s="5" t="s">
        <v>234</v>
      </c>
      <c r="G99" s="6">
        <v>1237.8</v>
      </c>
      <c r="H99" s="5" t="s">
        <v>46</v>
      </c>
      <c r="I99" s="5" t="s">
        <v>245</v>
      </c>
      <c r="J99" s="5" t="s">
        <v>3</v>
      </c>
    </row>
    <row r="100" ht="32" customHeight="1" spans="1:10" x14ac:dyDescent="0.25">
      <c r="A100" s="5">
        <v>96</v>
      </c>
      <c r="B100" s="5" t="s">
        <v>8</v>
      </c>
      <c r="C100" s="5" t="s">
        <v>246</v>
      </c>
      <c r="D100" s="22" t="s">
        <v>49</v>
      </c>
      <c r="E100" s="5" t="s">
        <v>50</v>
      </c>
      <c r="F100" s="5" t="s">
        <v>234</v>
      </c>
      <c r="G100" s="6">
        <v>1141.54</v>
      </c>
      <c r="H100" s="5" t="s">
        <v>46</v>
      </c>
      <c r="I100" s="5" t="s">
        <v>247</v>
      </c>
      <c r="J100" s="5" t="s">
        <v>3</v>
      </c>
    </row>
    <row r="101" ht="32" customHeight="1" spans="1:10" x14ac:dyDescent="0.25">
      <c r="A101" s="5">
        <v>97</v>
      </c>
      <c r="B101" s="5" t="s">
        <v>8</v>
      </c>
      <c r="C101" s="5" t="s">
        <v>248</v>
      </c>
      <c r="D101" s="22" t="s">
        <v>49</v>
      </c>
      <c r="E101" s="5" t="s">
        <v>50</v>
      </c>
      <c r="F101" s="5" t="s">
        <v>249</v>
      </c>
      <c r="G101" s="6">
        <v>573.4</v>
      </c>
      <c r="H101" s="5" t="s">
        <v>46</v>
      </c>
      <c r="I101" s="5" t="s">
        <v>250</v>
      </c>
      <c r="J101" s="5" t="s">
        <v>3</v>
      </c>
    </row>
    <row r="102" ht="32" customHeight="1" spans="1:10" x14ac:dyDescent="0.25">
      <c r="A102" s="5">
        <v>98</v>
      </c>
      <c r="B102" s="5" t="s">
        <v>8</v>
      </c>
      <c r="C102" s="5" t="s">
        <v>251</v>
      </c>
      <c r="D102" s="22" t="s">
        <v>49</v>
      </c>
      <c r="E102" s="5" t="s">
        <v>50</v>
      </c>
      <c r="F102" s="5" t="s">
        <v>252</v>
      </c>
      <c r="G102" s="6">
        <v>336.78</v>
      </c>
      <c r="H102" s="5" t="s">
        <v>253</v>
      </c>
      <c r="I102" s="5" t="s">
        <v>254</v>
      </c>
      <c r="J102" s="5" t="s">
        <v>3</v>
      </c>
    </row>
    <row r="103" ht="32" customHeight="1" spans="1:10" x14ac:dyDescent="0.25">
      <c r="A103" s="5">
        <v>99</v>
      </c>
      <c r="B103" s="5" t="s">
        <v>8</v>
      </c>
      <c r="C103" s="5" t="s">
        <v>255</v>
      </c>
      <c r="D103" s="22" t="s">
        <v>49</v>
      </c>
      <c r="E103" s="5" t="s">
        <v>50</v>
      </c>
      <c r="F103" s="5" t="s">
        <v>74</v>
      </c>
      <c r="G103" s="6">
        <v>239.71</v>
      </c>
      <c r="H103" s="5" t="s">
        <v>46</v>
      </c>
      <c r="I103" s="5" t="s">
        <v>256</v>
      </c>
      <c r="J103" s="5" t="s">
        <v>3</v>
      </c>
    </row>
    <row r="104" ht="32" customHeight="1" spans="1:10" x14ac:dyDescent="0.25">
      <c r="A104" s="5">
        <v>100</v>
      </c>
      <c r="B104" s="5" t="s">
        <v>8</v>
      </c>
      <c r="C104" s="5" t="s">
        <v>136</v>
      </c>
      <c r="D104" s="15" t="s">
        <v>73</v>
      </c>
      <c r="E104" s="5" t="s">
        <v>51</v>
      </c>
      <c r="F104" s="5" t="s">
        <v>74</v>
      </c>
      <c r="G104" s="6">
        <v>40280</v>
      </c>
      <c r="H104" s="5" t="s">
        <v>257</v>
      </c>
      <c r="I104" s="5" t="s">
        <v>76</v>
      </c>
      <c r="J104" s="5" t="s">
        <v>3</v>
      </c>
    </row>
    <row r="105" ht="32" customHeight="1" spans="1:10" x14ac:dyDescent="0.25">
      <c r="A105" s="5">
        <v>101</v>
      </c>
      <c r="B105" s="5" t="s">
        <v>8</v>
      </c>
      <c r="C105" s="5" t="s">
        <v>126</v>
      </c>
      <c r="D105" s="15" t="s">
        <v>73</v>
      </c>
      <c r="E105" s="5" t="s">
        <v>51</v>
      </c>
      <c r="F105" s="5" t="s">
        <v>74</v>
      </c>
      <c r="G105" s="6">
        <v>30000</v>
      </c>
      <c r="H105" s="5" t="s">
        <v>258</v>
      </c>
      <c r="I105" s="5" t="s">
        <v>76</v>
      </c>
      <c r="J105" s="5" t="s">
        <v>3</v>
      </c>
    </row>
    <row r="106" ht="32" customHeight="1" spans="1:10" x14ac:dyDescent="0.25">
      <c r="A106" s="5">
        <v>102</v>
      </c>
      <c r="B106" s="5" t="s">
        <v>8</v>
      </c>
      <c r="C106" s="5" t="s">
        <v>128</v>
      </c>
      <c r="D106" s="15" t="s">
        <v>73</v>
      </c>
      <c r="E106" s="5" t="s">
        <v>51</v>
      </c>
      <c r="F106" s="5" t="s">
        <v>74</v>
      </c>
      <c r="G106" s="6">
        <v>26000</v>
      </c>
      <c r="H106" s="5" t="s">
        <v>174</v>
      </c>
      <c r="I106" s="5" t="s">
        <v>76</v>
      </c>
      <c r="J106" s="5" t="s">
        <v>3</v>
      </c>
    </row>
    <row r="107" ht="32" customHeight="1" spans="1:10" x14ac:dyDescent="0.25">
      <c r="A107" s="5">
        <v>103</v>
      </c>
      <c r="B107" s="5" t="s">
        <v>8</v>
      </c>
      <c r="C107" s="5" t="s">
        <v>211</v>
      </c>
      <c r="D107" s="23" t="s">
        <v>259</v>
      </c>
      <c r="E107" s="5" t="s">
        <v>50</v>
      </c>
      <c r="F107" s="5" t="s">
        <v>93</v>
      </c>
      <c r="G107" s="6">
        <v>57416.63</v>
      </c>
      <c r="H107" s="5" t="s">
        <v>260</v>
      </c>
      <c r="I107" s="5" t="s">
        <v>261</v>
      </c>
      <c r="J107" s="5" t="s">
        <v>3</v>
      </c>
    </row>
    <row r="108" ht="32" customHeight="1" spans="1:10" x14ac:dyDescent="0.25">
      <c r="A108" s="5">
        <v>104</v>
      </c>
      <c r="B108" s="5" t="s">
        <v>8</v>
      </c>
      <c r="C108" s="5" t="s">
        <v>81</v>
      </c>
      <c r="D108" s="23" t="s">
        <v>142</v>
      </c>
      <c r="E108" s="5" t="s">
        <v>50</v>
      </c>
      <c r="F108" s="5" t="s">
        <v>83</v>
      </c>
      <c r="G108" s="6">
        <v>106079.87</v>
      </c>
      <c r="H108" s="5" t="s">
        <v>207</v>
      </c>
      <c r="I108" s="5" t="s">
        <v>262</v>
      </c>
      <c r="J108" s="5" t="s">
        <v>3</v>
      </c>
    </row>
    <row r="109" ht="32" customHeight="1" spans="1:10" x14ac:dyDescent="0.25">
      <c r="A109" s="5">
        <v>105</v>
      </c>
      <c r="B109" s="5" t="s">
        <v>8</v>
      </c>
      <c r="C109" s="5" t="s">
        <v>187</v>
      </c>
      <c r="D109" s="23" t="s">
        <v>142</v>
      </c>
      <c r="E109" s="5" t="s">
        <v>50</v>
      </c>
      <c r="F109" s="5" t="s">
        <v>188</v>
      </c>
      <c r="G109" s="6">
        <v>4782.25</v>
      </c>
      <c r="H109" s="5" t="s">
        <v>153</v>
      </c>
      <c r="I109" s="5" t="s">
        <v>263</v>
      </c>
      <c r="J109" s="5" t="s">
        <v>3</v>
      </c>
    </row>
    <row r="110" ht="32" customHeight="1" spans="1:10" x14ac:dyDescent="0.25">
      <c r="A110" s="5">
        <v>106</v>
      </c>
      <c r="B110" s="5" t="s">
        <v>8</v>
      </c>
      <c r="C110" s="5" t="s">
        <v>190</v>
      </c>
      <c r="D110" s="23" t="s">
        <v>142</v>
      </c>
      <c r="E110" s="5" t="s">
        <v>50</v>
      </c>
      <c r="F110" s="5" t="s">
        <v>93</v>
      </c>
      <c r="G110" s="6">
        <v>2281.16</v>
      </c>
      <c r="H110" s="5" t="s">
        <v>153</v>
      </c>
      <c r="I110" s="5" t="s">
        <v>264</v>
      </c>
      <c r="J110" s="5" t="s">
        <v>3</v>
      </c>
    </row>
    <row r="111" ht="32" customHeight="1" spans="1:10" x14ac:dyDescent="0.25">
      <c r="A111" s="5">
        <v>107</v>
      </c>
      <c r="B111" s="5" t="s">
        <v>8</v>
      </c>
      <c r="C111" s="5" t="s">
        <v>265</v>
      </c>
      <c r="D111" s="23" t="s">
        <v>82</v>
      </c>
      <c r="E111" s="5" t="s">
        <v>122</v>
      </c>
      <c r="F111" s="5" t="s">
        <v>50</v>
      </c>
      <c r="G111" s="6">
        <v>176091.75</v>
      </c>
      <c r="H111" s="5" t="s">
        <v>266</v>
      </c>
      <c r="I111" s="5" t="s">
        <v>267</v>
      </c>
      <c r="J111" s="5" t="s">
        <v>3</v>
      </c>
    </row>
    <row r="112" ht="32" customHeight="1" spans="1:10" x14ac:dyDescent="0.25">
      <c r="A112" s="5">
        <v>108</v>
      </c>
      <c r="B112" s="5" t="s">
        <v>8</v>
      </c>
      <c r="C112" s="5" t="s">
        <v>268</v>
      </c>
      <c r="D112" s="23" t="s">
        <v>82</v>
      </c>
      <c r="E112" s="5" t="s">
        <v>83</v>
      </c>
      <c r="F112" s="5" t="s">
        <v>50</v>
      </c>
      <c r="G112" s="6">
        <v>115492.22</v>
      </c>
      <c r="H112" s="5" t="s">
        <v>46</v>
      </c>
      <c r="I112" s="5" t="s">
        <v>269</v>
      </c>
      <c r="J112" s="5" t="s">
        <v>3</v>
      </c>
    </row>
    <row r="113" ht="32" customHeight="1" spans="1:10" x14ac:dyDescent="0.25">
      <c r="A113" s="5">
        <v>109</v>
      </c>
      <c r="B113" s="5" t="s">
        <v>8</v>
      </c>
      <c r="C113" s="5" t="s">
        <v>270</v>
      </c>
      <c r="D113" s="23" t="s">
        <v>82</v>
      </c>
      <c r="E113" s="5" t="s">
        <v>122</v>
      </c>
      <c r="F113" s="5" t="s">
        <v>50</v>
      </c>
      <c r="G113" s="6">
        <v>102290</v>
      </c>
      <c r="H113" s="5" t="s">
        <v>46</v>
      </c>
      <c r="I113" s="5" t="s">
        <v>271</v>
      </c>
      <c r="J113" s="5" t="s">
        <v>3</v>
      </c>
    </row>
    <row r="114" ht="32" customHeight="1" spans="1:10" x14ac:dyDescent="0.25">
      <c r="A114" s="5">
        <v>110</v>
      </c>
      <c r="B114" s="5" t="s">
        <v>8</v>
      </c>
      <c r="C114" s="5" t="s">
        <v>215</v>
      </c>
      <c r="D114" s="23" t="s">
        <v>82</v>
      </c>
      <c r="E114" s="5" t="s">
        <v>93</v>
      </c>
      <c r="F114" s="5" t="s">
        <v>50</v>
      </c>
      <c r="G114" s="6">
        <v>57417.59</v>
      </c>
      <c r="H114" s="5" t="s">
        <v>46</v>
      </c>
      <c r="I114" s="5" t="s">
        <v>272</v>
      </c>
      <c r="J114" s="5" t="s">
        <v>3</v>
      </c>
    </row>
    <row r="115" ht="32" customHeight="1" spans="1:10" x14ac:dyDescent="0.25">
      <c r="A115" s="5">
        <v>111</v>
      </c>
      <c r="B115" s="5" t="s">
        <v>8</v>
      </c>
      <c r="C115" s="5" t="s">
        <v>273</v>
      </c>
      <c r="D115" s="23" t="s">
        <v>82</v>
      </c>
      <c r="E115" s="5" t="s">
        <v>74</v>
      </c>
      <c r="F115" s="5" t="s">
        <v>50</v>
      </c>
      <c r="G115" s="6">
        <v>45000</v>
      </c>
      <c r="H115" s="5" t="s">
        <v>46</v>
      </c>
      <c r="I115" s="5" t="s">
        <v>274</v>
      </c>
      <c r="J115" s="5" t="s">
        <v>3</v>
      </c>
    </row>
    <row r="116" ht="32" customHeight="1" spans="1:10" x14ac:dyDescent="0.25">
      <c r="A116" s="5">
        <v>112</v>
      </c>
      <c r="B116" s="5" t="s">
        <v>8</v>
      </c>
      <c r="C116" s="5" t="s">
        <v>121</v>
      </c>
      <c r="D116" s="23" t="s">
        <v>82</v>
      </c>
      <c r="E116" s="5" t="s">
        <v>122</v>
      </c>
      <c r="F116" s="5" t="s">
        <v>50</v>
      </c>
      <c r="G116" s="6">
        <v>38715.35</v>
      </c>
      <c r="H116" s="5" t="s">
        <v>275</v>
      </c>
      <c r="I116" s="5" t="s">
        <v>276</v>
      </c>
      <c r="J116" s="5" t="s">
        <v>3</v>
      </c>
    </row>
    <row r="117" ht="32" customHeight="1" spans="1:10" x14ac:dyDescent="0.25">
      <c r="A117" s="5">
        <v>113</v>
      </c>
      <c r="B117" s="5" t="s">
        <v>8</v>
      </c>
      <c r="C117" s="5" t="s">
        <v>180</v>
      </c>
      <c r="D117" s="23" t="s">
        <v>82</v>
      </c>
      <c r="E117" s="5" t="s">
        <v>122</v>
      </c>
      <c r="F117" s="5" t="s">
        <v>50</v>
      </c>
      <c r="G117" s="6">
        <v>38314.6</v>
      </c>
      <c r="H117" s="5" t="s">
        <v>46</v>
      </c>
      <c r="I117" s="5" t="s">
        <v>277</v>
      </c>
      <c r="J117" s="5" t="s">
        <v>3</v>
      </c>
    </row>
    <row r="118" ht="32" customHeight="1" spans="1:10" x14ac:dyDescent="0.25">
      <c r="A118" s="5">
        <v>114</v>
      </c>
      <c r="B118" s="5" t="s">
        <v>8</v>
      </c>
      <c r="C118" s="5" t="s">
        <v>131</v>
      </c>
      <c r="D118" s="23" t="s">
        <v>82</v>
      </c>
      <c r="E118" s="5" t="s">
        <v>122</v>
      </c>
      <c r="F118" s="5" t="s">
        <v>50</v>
      </c>
      <c r="G118" s="6">
        <v>19799.41</v>
      </c>
      <c r="H118" s="5" t="s">
        <v>278</v>
      </c>
      <c r="I118" s="5" t="s">
        <v>279</v>
      </c>
      <c r="J118" s="5" t="s">
        <v>3</v>
      </c>
    </row>
    <row r="119" ht="32" customHeight="1" spans="1:10" x14ac:dyDescent="0.25">
      <c r="A119" s="5">
        <v>115</v>
      </c>
      <c r="B119" s="5" t="s">
        <v>8</v>
      </c>
      <c r="C119" s="5" t="s">
        <v>280</v>
      </c>
      <c r="D119" s="23" t="s">
        <v>82</v>
      </c>
      <c r="E119" s="5" t="s">
        <v>74</v>
      </c>
      <c r="F119" s="5" t="s">
        <v>50</v>
      </c>
      <c r="G119" s="6">
        <v>8500</v>
      </c>
      <c r="H119" s="5" t="s">
        <v>46</v>
      </c>
      <c r="I119" s="5" t="s">
        <v>281</v>
      </c>
      <c r="J119" s="5" t="s">
        <v>3</v>
      </c>
    </row>
    <row r="120" ht="32" customHeight="1" spans="1:10" x14ac:dyDescent="0.25">
      <c r="A120" s="5">
        <v>116</v>
      </c>
      <c r="B120" s="5" t="s">
        <v>8</v>
      </c>
      <c r="C120" s="5" t="s">
        <v>282</v>
      </c>
      <c r="D120" s="23" t="s">
        <v>82</v>
      </c>
      <c r="E120" s="5" t="s">
        <v>51</v>
      </c>
      <c r="F120" s="5" t="s">
        <v>50</v>
      </c>
      <c r="G120" s="6">
        <v>7882.06</v>
      </c>
      <c r="H120" s="5" t="s">
        <v>46</v>
      </c>
      <c r="I120" s="5" t="s">
        <v>283</v>
      </c>
      <c r="J120" s="5" t="s">
        <v>3</v>
      </c>
    </row>
    <row r="121" ht="48" customHeight="1" spans="1:10" x14ac:dyDescent="0.25">
      <c r="A121" s="5">
        <v>117</v>
      </c>
      <c r="B121" s="5" t="s">
        <v>8</v>
      </c>
      <c r="C121" s="5" t="s">
        <v>103</v>
      </c>
      <c r="D121" s="11" t="s">
        <v>104</v>
      </c>
      <c r="E121" s="5" t="s">
        <v>105</v>
      </c>
      <c r="F121" s="5" t="s">
        <v>106</v>
      </c>
      <c r="G121" s="6">
        <v>59487.01</v>
      </c>
      <c r="H121" s="5" t="s">
        <v>46</v>
      </c>
      <c r="I121" s="5" t="s">
        <v>284</v>
      </c>
      <c r="J121" s="5" t="s">
        <v>3</v>
      </c>
    </row>
    <row r="122" ht="32" customHeight="1" spans="1:10" x14ac:dyDescent="0.25">
      <c r="A122" s="5">
        <v>118</v>
      </c>
      <c r="B122" s="5" t="s">
        <v>9</v>
      </c>
      <c r="C122" s="5" t="s">
        <v>285</v>
      </c>
      <c r="D122" s="22" t="s">
        <v>43</v>
      </c>
      <c r="E122" s="5" t="s">
        <v>286</v>
      </c>
      <c r="F122" s="5" t="s">
        <v>51</v>
      </c>
      <c r="G122" s="6">
        <v>9032.26</v>
      </c>
      <c r="H122" s="5" t="s">
        <v>287</v>
      </c>
      <c r="I122" s="5" t="s">
        <v>288</v>
      </c>
      <c r="J122" s="5" t="s">
        <v>3</v>
      </c>
    </row>
    <row r="123" ht="32" customHeight="1" spans="1:10" x14ac:dyDescent="0.25">
      <c r="A123" s="5">
        <v>119</v>
      </c>
      <c r="B123" s="5" t="s">
        <v>9</v>
      </c>
      <c r="C123" s="5" t="s">
        <v>126</v>
      </c>
      <c r="D123" s="15" t="s">
        <v>73</v>
      </c>
      <c r="E123" s="5" t="s">
        <v>51</v>
      </c>
      <c r="F123" s="5" t="s">
        <v>74</v>
      </c>
      <c r="G123" s="6">
        <v>30000</v>
      </c>
      <c r="H123" s="5" t="s">
        <v>137</v>
      </c>
      <c r="I123" s="5" t="s">
        <v>76</v>
      </c>
      <c r="J123" s="5" t="s">
        <v>3</v>
      </c>
    </row>
    <row r="124" ht="32" customHeight="1" spans="1:10" x14ac:dyDescent="0.25">
      <c r="A124" s="5">
        <v>120</v>
      </c>
      <c r="B124" s="5" t="s">
        <v>9</v>
      </c>
      <c r="C124" s="5" t="s">
        <v>128</v>
      </c>
      <c r="D124" s="15" t="s">
        <v>73</v>
      </c>
      <c r="E124" s="5" t="s">
        <v>51</v>
      </c>
      <c r="F124" s="5" t="s">
        <v>74</v>
      </c>
      <c r="G124" s="6">
        <v>26000</v>
      </c>
      <c r="H124" s="5" t="s">
        <v>194</v>
      </c>
      <c r="I124" s="5" t="s">
        <v>76</v>
      </c>
      <c r="J124" s="5" t="s">
        <v>3</v>
      </c>
    </row>
    <row r="125" ht="32" customHeight="1" spans="1:10" x14ac:dyDescent="0.25">
      <c r="A125" s="5">
        <v>121</v>
      </c>
      <c r="B125" s="5" t="s">
        <v>9</v>
      </c>
      <c r="C125" s="5" t="s">
        <v>72</v>
      </c>
      <c r="D125" s="15" t="s">
        <v>73</v>
      </c>
      <c r="E125" s="5" t="s">
        <v>51</v>
      </c>
      <c r="F125" s="5" t="s">
        <v>74</v>
      </c>
      <c r="G125" s="6">
        <v>22000</v>
      </c>
      <c r="H125" s="5" t="s">
        <v>137</v>
      </c>
      <c r="I125" s="5" t="s">
        <v>76</v>
      </c>
      <c r="J125" s="5" t="s">
        <v>3</v>
      </c>
    </row>
    <row r="126" ht="32" customHeight="1" spans="1:10" x14ac:dyDescent="0.25">
      <c r="A126" s="5">
        <v>122</v>
      </c>
      <c r="B126" s="5" t="s">
        <v>9</v>
      </c>
      <c r="C126" s="5" t="s">
        <v>136</v>
      </c>
      <c r="D126" s="15" t="s">
        <v>73</v>
      </c>
      <c r="E126" s="5" t="s">
        <v>51</v>
      </c>
      <c r="F126" s="5" t="s">
        <v>74</v>
      </c>
      <c r="G126" s="6">
        <v>21280</v>
      </c>
      <c r="H126" s="5" t="s">
        <v>289</v>
      </c>
      <c r="I126" s="5" t="s">
        <v>76</v>
      </c>
      <c r="J126" s="5" t="s">
        <v>3</v>
      </c>
    </row>
    <row r="127" ht="32" customHeight="1" spans="1:10" x14ac:dyDescent="0.25">
      <c r="A127" s="5">
        <v>123</v>
      </c>
      <c r="B127" s="5" t="s">
        <v>9</v>
      </c>
      <c r="C127" s="5" t="s">
        <v>290</v>
      </c>
      <c r="D127" s="15" t="s">
        <v>73</v>
      </c>
      <c r="E127" s="5" t="s">
        <v>51</v>
      </c>
      <c r="F127" s="5" t="s">
        <v>74</v>
      </c>
      <c r="G127" s="6">
        <v>7850</v>
      </c>
      <c r="H127" s="5" t="s">
        <v>137</v>
      </c>
      <c r="I127" s="5" t="s">
        <v>76</v>
      </c>
      <c r="J127" s="5" t="s">
        <v>3</v>
      </c>
    </row>
    <row r="128" ht="32" customHeight="1" spans="1:10" x14ac:dyDescent="0.25">
      <c r="A128" s="5">
        <v>124</v>
      </c>
      <c r="B128" s="5" t="s">
        <v>9</v>
      </c>
      <c r="C128" s="5" t="s">
        <v>265</v>
      </c>
      <c r="D128" s="23" t="s">
        <v>142</v>
      </c>
      <c r="E128" s="5" t="s">
        <v>50</v>
      </c>
      <c r="F128" s="5" t="s">
        <v>122</v>
      </c>
      <c r="G128" s="6">
        <v>176091.75</v>
      </c>
      <c r="H128" s="5" t="s">
        <v>266</v>
      </c>
      <c r="I128" s="5" t="s">
        <v>291</v>
      </c>
      <c r="J128" s="5" t="s">
        <v>3</v>
      </c>
    </row>
    <row r="129" ht="32" customHeight="1" spans="1:10" x14ac:dyDescent="0.25">
      <c r="A129" s="5">
        <v>125</v>
      </c>
      <c r="B129" s="5" t="s">
        <v>9</v>
      </c>
      <c r="C129" s="5" t="s">
        <v>268</v>
      </c>
      <c r="D129" s="23" t="s">
        <v>142</v>
      </c>
      <c r="E129" s="5" t="s">
        <v>50</v>
      </c>
      <c r="F129" s="5" t="s">
        <v>83</v>
      </c>
      <c r="G129" s="6">
        <v>115492.22</v>
      </c>
      <c r="H129" s="5" t="s">
        <v>46</v>
      </c>
      <c r="I129" s="5" t="s">
        <v>292</v>
      </c>
      <c r="J129" s="5" t="s">
        <v>3</v>
      </c>
    </row>
    <row r="130" ht="32" customHeight="1" spans="1:10" x14ac:dyDescent="0.25">
      <c r="A130" s="5">
        <v>126</v>
      </c>
      <c r="B130" s="5" t="s">
        <v>9</v>
      </c>
      <c r="C130" s="5" t="s">
        <v>121</v>
      </c>
      <c r="D130" s="23" t="s">
        <v>142</v>
      </c>
      <c r="E130" s="5" t="s">
        <v>50</v>
      </c>
      <c r="F130" s="5" t="s">
        <v>122</v>
      </c>
      <c r="G130" s="6">
        <v>38715.35</v>
      </c>
      <c r="H130" s="5" t="s">
        <v>275</v>
      </c>
      <c r="I130" s="5" t="s">
        <v>293</v>
      </c>
      <c r="J130" s="5" t="s">
        <v>3</v>
      </c>
    </row>
    <row r="131" ht="32" customHeight="1" spans="1:10" x14ac:dyDescent="0.25">
      <c r="A131" s="5">
        <v>127</v>
      </c>
      <c r="B131" s="5" t="s">
        <v>9</v>
      </c>
      <c r="C131" s="5" t="s">
        <v>131</v>
      </c>
      <c r="D131" s="23" t="s">
        <v>142</v>
      </c>
      <c r="E131" s="5" t="s">
        <v>50</v>
      </c>
      <c r="F131" s="5" t="s">
        <v>122</v>
      </c>
      <c r="G131" s="6">
        <v>19799.41</v>
      </c>
      <c r="H131" s="5" t="s">
        <v>278</v>
      </c>
      <c r="I131" s="5" t="s">
        <v>294</v>
      </c>
      <c r="J131" s="5" t="s">
        <v>3</v>
      </c>
    </row>
    <row r="132" ht="48" customHeight="1" spans="1:10" x14ac:dyDescent="0.25">
      <c r="A132" s="5">
        <v>128</v>
      </c>
      <c r="B132" s="5" t="s">
        <v>9</v>
      </c>
      <c r="C132" s="5" t="s">
        <v>265</v>
      </c>
      <c r="D132" s="23" t="s">
        <v>82</v>
      </c>
      <c r="E132" s="5" t="s">
        <v>122</v>
      </c>
      <c r="F132" s="5" t="s">
        <v>50</v>
      </c>
      <c r="G132" s="6">
        <v>165649</v>
      </c>
      <c r="H132" s="5" t="s">
        <v>46</v>
      </c>
      <c r="I132" s="5" t="s">
        <v>295</v>
      </c>
      <c r="J132" s="5" t="s">
        <v>3</v>
      </c>
    </row>
    <row r="133" ht="48" customHeight="1" spans="1:10" x14ac:dyDescent="0.25">
      <c r="A133" s="5">
        <v>129</v>
      </c>
      <c r="B133" s="5" t="s">
        <v>9</v>
      </c>
      <c r="C133" s="5" t="s">
        <v>81</v>
      </c>
      <c r="D133" s="23" t="s">
        <v>82</v>
      </c>
      <c r="E133" s="5" t="s">
        <v>83</v>
      </c>
      <c r="F133" s="5" t="s">
        <v>50</v>
      </c>
      <c r="G133" s="6">
        <v>126682</v>
      </c>
      <c r="H133" s="5" t="s">
        <v>46</v>
      </c>
      <c r="I133" s="5" t="s">
        <v>296</v>
      </c>
      <c r="J133" s="5" t="s">
        <v>3</v>
      </c>
    </row>
    <row r="134" ht="32" customHeight="1" spans="1:10" x14ac:dyDescent="0.25">
      <c r="A134" s="5">
        <v>130</v>
      </c>
      <c r="B134" s="5" t="s">
        <v>9</v>
      </c>
      <c r="C134" s="5" t="s">
        <v>211</v>
      </c>
      <c r="D134" s="23" t="s">
        <v>82</v>
      </c>
      <c r="E134" s="5" t="s">
        <v>93</v>
      </c>
      <c r="F134" s="5" t="s">
        <v>50</v>
      </c>
      <c r="G134" s="6">
        <v>57416.63</v>
      </c>
      <c r="H134" s="5" t="s">
        <v>260</v>
      </c>
      <c r="I134" s="5" t="s">
        <v>297</v>
      </c>
      <c r="J134" s="5" t="s">
        <v>3</v>
      </c>
    </row>
    <row r="135" ht="48" customHeight="1" spans="1:10" x14ac:dyDescent="0.25">
      <c r="A135" s="5">
        <v>131</v>
      </c>
      <c r="B135" s="5" t="s">
        <v>9</v>
      </c>
      <c r="C135" s="5" t="s">
        <v>298</v>
      </c>
      <c r="D135" s="23" t="s">
        <v>82</v>
      </c>
      <c r="E135" s="5" t="s">
        <v>299</v>
      </c>
      <c r="F135" s="5" t="s">
        <v>50</v>
      </c>
      <c r="G135" s="6">
        <v>40686.62</v>
      </c>
      <c r="H135" s="5" t="s">
        <v>46</v>
      </c>
      <c r="I135" s="5" t="s">
        <v>300</v>
      </c>
      <c r="J135" s="5" t="s">
        <v>3</v>
      </c>
    </row>
    <row r="136" ht="48" customHeight="1" spans="1:10" x14ac:dyDescent="0.25">
      <c r="A136" s="5">
        <v>132</v>
      </c>
      <c r="B136" s="5" t="s">
        <v>9</v>
      </c>
      <c r="C136" s="5" t="s">
        <v>121</v>
      </c>
      <c r="D136" s="23" t="s">
        <v>82</v>
      </c>
      <c r="E136" s="5" t="s">
        <v>122</v>
      </c>
      <c r="F136" s="5" t="s">
        <v>50</v>
      </c>
      <c r="G136" s="6">
        <v>39426</v>
      </c>
      <c r="H136" s="5" t="s">
        <v>46</v>
      </c>
      <c r="I136" s="5" t="s">
        <v>301</v>
      </c>
      <c r="J136" s="5" t="s">
        <v>3</v>
      </c>
    </row>
    <row r="137" ht="48" customHeight="1" spans="1:10" x14ac:dyDescent="0.25">
      <c r="A137" s="5">
        <v>133</v>
      </c>
      <c r="B137" s="5" t="s">
        <v>9</v>
      </c>
      <c r="C137" s="5" t="s">
        <v>302</v>
      </c>
      <c r="D137" s="23" t="s">
        <v>82</v>
      </c>
      <c r="E137" s="5" t="s">
        <v>83</v>
      </c>
      <c r="F137" s="5" t="s">
        <v>50</v>
      </c>
      <c r="G137" s="6">
        <v>27368.59</v>
      </c>
      <c r="H137" s="5" t="s">
        <v>46</v>
      </c>
      <c r="I137" s="5" t="s">
        <v>303</v>
      </c>
      <c r="J137" s="5" t="s">
        <v>3</v>
      </c>
    </row>
    <row r="138" ht="48" customHeight="1" spans="1:10" x14ac:dyDescent="0.25">
      <c r="A138" s="5">
        <v>134</v>
      </c>
      <c r="B138" s="5" t="s">
        <v>9</v>
      </c>
      <c r="C138" s="5" t="s">
        <v>128</v>
      </c>
      <c r="D138" s="23" t="s">
        <v>82</v>
      </c>
      <c r="E138" s="5" t="s">
        <v>51</v>
      </c>
      <c r="F138" s="5" t="s">
        <v>50</v>
      </c>
      <c r="G138" s="6">
        <v>26000</v>
      </c>
      <c r="H138" s="5" t="s">
        <v>46</v>
      </c>
      <c r="I138" s="5" t="s">
        <v>304</v>
      </c>
      <c r="J138" s="5" t="s">
        <v>3</v>
      </c>
    </row>
    <row r="139" ht="48" customHeight="1" spans="1:10" x14ac:dyDescent="0.25">
      <c r="A139" s="5">
        <v>135</v>
      </c>
      <c r="B139" s="5" t="s">
        <v>9</v>
      </c>
      <c r="C139" s="5" t="s">
        <v>131</v>
      </c>
      <c r="D139" s="23" t="s">
        <v>82</v>
      </c>
      <c r="E139" s="5" t="s">
        <v>122</v>
      </c>
      <c r="F139" s="5" t="s">
        <v>50</v>
      </c>
      <c r="G139" s="6">
        <v>22348</v>
      </c>
      <c r="H139" s="5" t="s">
        <v>46</v>
      </c>
      <c r="I139" s="5" t="s">
        <v>305</v>
      </c>
      <c r="J139" s="5" t="s">
        <v>3</v>
      </c>
    </row>
    <row r="140" ht="48" customHeight="1" spans="1:10" x14ac:dyDescent="0.25">
      <c r="A140" s="5">
        <v>136</v>
      </c>
      <c r="B140" s="5" t="s">
        <v>9</v>
      </c>
      <c r="C140" s="5" t="s">
        <v>306</v>
      </c>
      <c r="D140" s="23" t="s">
        <v>82</v>
      </c>
      <c r="E140" s="5" t="s">
        <v>122</v>
      </c>
      <c r="F140" s="5" t="s">
        <v>50</v>
      </c>
      <c r="G140" s="6">
        <v>11088.53</v>
      </c>
      <c r="H140" s="5" t="s">
        <v>46</v>
      </c>
      <c r="I140" s="5" t="s">
        <v>307</v>
      </c>
      <c r="J140" s="5" t="s">
        <v>3</v>
      </c>
    </row>
    <row r="141" ht="32" customHeight="1" spans="1:10" x14ac:dyDescent="0.25">
      <c r="A141" s="5">
        <v>137</v>
      </c>
      <c r="B141" s="5" t="s">
        <v>9</v>
      </c>
      <c r="C141" s="5" t="s">
        <v>308</v>
      </c>
      <c r="D141" s="23" t="s">
        <v>82</v>
      </c>
      <c r="E141" s="5" t="s">
        <v>51</v>
      </c>
      <c r="F141" s="5" t="s">
        <v>50</v>
      </c>
      <c r="G141" s="6">
        <v>10000</v>
      </c>
      <c r="H141" s="5" t="s">
        <v>46</v>
      </c>
      <c r="I141" s="5" t="s">
        <v>309</v>
      </c>
      <c r="J141" s="5" t="s">
        <v>3</v>
      </c>
    </row>
    <row r="142" ht="48" customHeight="1" spans="1:10" x14ac:dyDescent="0.25">
      <c r="A142" s="5">
        <v>138</v>
      </c>
      <c r="B142" s="5" t="s">
        <v>9</v>
      </c>
      <c r="C142" s="5" t="s">
        <v>103</v>
      </c>
      <c r="D142" s="11" t="s">
        <v>104</v>
      </c>
      <c r="E142" s="5" t="s">
        <v>105</v>
      </c>
      <c r="F142" s="5" t="s">
        <v>106</v>
      </c>
      <c r="G142" s="6">
        <v>57078.91</v>
      </c>
      <c r="H142" s="5" t="s">
        <v>46</v>
      </c>
      <c r="I142" s="5" t="s">
        <v>310</v>
      </c>
      <c r="J142" s="5" t="s">
        <v>3</v>
      </c>
    </row>
    <row r="143" spans="1:10" x14ac:dyDescent="0.25">
      <c r="A143" s="24" t="s">
        <v>3</v>
      </c>
      <c r="B143" s="24" t="s">
        <v>3</v>
      </c>
      <c r="C143" s="24" t="s">
        <v>311</v>
      </c>
      <c r="D143" s="24" t="s">
        <v>3</v>
      </c>
      <c r="E143" s="24" t="s">
        <v>3</v>
      </c>
      <c r="F143" s="24" t="s">
        <v>3</v>
      </c>
      <c r="G143" s="24" t="s">
        <v>3</v>
      </c>
      <c r="H143" s="24" t="s">
        <v>3</v>
      </c>
      <c r="I143" s="24" t="s">
        <v>3</v>
      </c>
      <c r="J143" s="24" t="s">
        <v>3</v>
      </c>
    </row>
  </sheetData>
  <autoFilter ref="A4:J142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11" customWidth="1"/>
    <col min="3" max="3" width="16" customWidth="1"/>
    <col min="4" max="4" width="50" customWidth="1"/>
    <col min="5" max="5" width="70" customWidth="1"/>
  </cols>
  <sheetData>
    <row r="1" ht="26" customHeight="1" spans="1:5" x14ac:dyDescent="0.25">
      <c r="A1" s="1" t="s">
        <v>312</v>
      </c>
      <c r="B1" s="1"/>
      <c r="C1" s="1"/>
      <c r="D1" s="1"/>
      <c r="E1" s="1"/>
    </row>
    <row r="2" ht="30" customHeight="1" spans="1:5" x14ac:dyDescent="0.25">
      <c r="A2" s="2" t="s">
        <v>313</v>
      </c>
      <c r="B2" s="2"/>
      <c r="C2" s="2"/>
      <c r="D2" s="2"/>
      <c r="E2" s="2"/>
    </row>
    <row r="4" ht="30" customHeight="1" spans="1:5" x14ac:dyDescent="0.25">
      <c r="A4" s="4" t="s">
        <v>314</v>
      </c>
      <c r="B4" s="4" t="s">
        <v>315</v>
      </c>
      <c r="C4" s="4" t="s">
        <v>38</v>
      </c>
      <c r="D4" s="4" t="s">
        <v>316</v>
      </c>
      <c r="E4" s="4" t="s">
        <v>317</v>
      </c>
    </row>
    <row r="5" ht="48" customHeight="1" spans="1:5" x14ac:dyDescent="0.25">
      <c r="A5" s="15" t="s">
        <v>318</v>
      </c>
      <c r="B5" s="5">
        <v>78</v>
      </c>
      <c r="C5" s="6">
        <v>1223585.95</v>
      </c>
      <c r="D5" s="5" t="s">
        <v>319</v>
      </c>
      <c r="E5" s="5" t="s">
        <v>320</v>
      </c>
    </row>
    <row r="6" ht="32" customHeight="1" spans="1:5" x14ac:dyDescent="0.25">
      <c r="A6" s="15" t="s">
        <v>321</v>
      </c>
      <c r="B6" s="5">
        <v>38</v>
      </c>
      <c r="C6" s="6">
        <v>1461188.25</v>
      </c>
      <c r="D6" s="5" t="s">
        <v>322</v>
      </c>
      <c r="E6" s="5" t="s">
        <v>323</v>
      </c>
    </row>
    <row r="7" ht="32" customHeight="1" spans="1:5" x14ac:dyDescent="0.25">
      <c r="A7" s="15" t="s">
        <v>324</v>
      </c>
      <c r="B7" s="5">
        <v>37</v>
      </c>
      <c r="C7" s="6">
        <v>403748.25</v>
      </c>
      <c r="D7" s="5" t="s">
        <v>325</v>
      </c>
      <c r="E7" s="5" t="s">
        <v>326</v>
      </c>
    </row>
    <row r="8" ht="32" customHeight="1" spans="1:5" x14ac:dyDescent="0.25">
      <c r="A8" s="15" t="s">
        <v>327</v>
      </c>
      <c r="B8" s="5">
        <v>15</v>
      </c>
      <c r="C8" s="6">
        <v>205422.35</v>
      </c>
      <c r="D8" s="5" t="s">
        <v>328</v>
      </c>
      <c r="E8" s="5" t="s">
        <v>329</v>
      </c>
    </row>
    <row r="9" ht="48" customHeight="1" spans="1:5" x14ac:dyDescent="0.25">
      <c r="A9" s="15" t="s">
        <v>330</v>
      </c>
      <c r="B9" s="5">
        <v>3</v>
      </c>
      <c r="C9" s="6">
        <v>56525.13</v>
      </c>
      <c r="D9" s="5" t="s">
        <v>331</v>
      </c>
      <c r="E9" s="5" t="s">
        <v>332</v>
      </c>
    </row>
    <row r="10" ht="32" customHeight="1" spans="1:5" x14ac:dyDescent="0.25">
      <c r="A10" s="15" t="s">
        <v>333</v>
      </c>
      <c r="B10" s="5">
        <v>206</v>
      </c>
      <c r="C10" s="6">
        <v>1469294.24</v>
      </c>
      <c r="D10" s="5" t="s">
        <v>334</v>
      </c>
      <c r="E10" s="5" t="s">
        <v>335</v>
      </c>
    </row>
    <row r="11" ht="32" customHeight="1" spans="1:5" x14ac:dyDescent="0.25">
      <c r="A11" s="11" t="s">
        <v>336</v>
      </c>
      <c r="B11" s="5">
        <v>6</v>
      </c>
      <c r="C11" s="6">
        <v>361743.38</v>
      </c>
      <c r="D11" s="5" t="s">
        <v>337</v>
      </c>
      <c r="E11" s="5" t="s">
        <v>338</v>
      </c>
    </row>
    <row r="12" ht="32" customHeight="1" spans="1:5" x14ac:dyDescent="0.25">
      <c r="A12" s="23" t="s">
        <v>339</v>
      </c>
      <c r="B12" s="5">
        <v>239</v>
      </c>
      <c r="C12" s="6">
        <v>2266713.91</v>
      </c>
      <c r="D12" s="5" t="s">
        <v>340</v>
      </c>
      <c r="E12" s="5" t="s">
        <v>341</v>
      </c>
    </row>
    <row r="13" ht="32" customHeight="1" spans="1:5" x14ac:dyDescent="0.25">
      <c r="A13" s="23" t="s">
        <v>342</v>
      </c>
      <c r="B13" s="5">
        <v>181</v>
      </c>
      <c r="C13" s="6">
        <v>1553761.79</v>
      </c>
      <c r="D13" s="5" t="s">
        <v>343</v>
      </c>
      <c r="E13" s="5" t="s">
        <v>344</v>
      </c>
    </row>
    <row r="14" ht="32" customHeight="1" spans="1:5" x14ac:dyDescent="0.25">
      <c r="A14" s="22" t="s">
        <v>345</v>
      </c>
      <c r="B14" s="5">
        <v>45</v>
      </c>
      <c r="C14" s="6">
        <v>466957.67</v>
      </c>
      <c r="D14" s="5" t="s">
        <v>346</v>
      </c>
      <c r="E14" s="5" t="s">
        <v>347</v>
      </c>
    </row>
    <row r="15" ht="32" customHeight="1" spans="1:5" x14ac:dyDescent="0.25">
      <c r="A15" s="22" t="s">
        <v>348</v>
      </c>
      <c r="B15" s="5">
        <v>15</v>
      </c>
      <c r="C15" s="6">
        <v>313512.81</v>
      </c>
      <c r="D15" s="5" t="s">
        <v>349</v>
      </c>
      <c r="E15" s="5" t="s">
        <v>350</v>
      </c>
    </row>
    <row r="16" ht="32" customHeight="1" spans="1:5" x14ac:dyDescent="0.25">
      <c r="A16" s="7" t="s">
        <v>351</v>
      </c>
      <c r="B16" s="5">
        <v>239</v>
      </c>
      <c r="C16" s="6">
        <v>1389099</v>
      </c>
      <c r="D16" s="5" t="s">
        <v>352</v>
      </c>
      <c r="E16" s="5" t="s">
        <v>353</v>
      </c>
    </row>
    <row r="18" spans="1:1" x14ac:dyDescent="0.25">
      <c r="A18" s="25" t="s">
        <v>354</v>
      </c>
    </row>
    <row r="19" ht="40" customHeight="1" spans="1:5" x14ac:dyDescent="0.25">
      <c r="A19" s="5" t="s">
        <v>355</v>
      </c>
      <c r="B19" s="5" t="s">
        <v>3</v>
      </c>
      <c r="C19" s="5" t="s">
        <v>3</v>
      </c>
      <c r="D19" s="5" t="s">
        <v>3</v>
      </c>
      <c r="E19" s="5" t="s">
        <v>356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5"/>
  <sheetFormatPr defaultRowHeight="15" outlineLevelRow="0" outlineLevelCol="0" x14ac:dyDescent="55"/>
  <cols>
    <col min="1" max="1" width="44" customWidth="1"/>
    <col min="2" max="2" width="8" customWidth="1"/>
    <col min="3" max="3" width="15" customWidth="1"/>
    <col min="4" max="5" width="34" customWidth="1"/>
    <col min="6" max="6" width="70" customWidth="1"/>
  </cols>
  <sheetData>
    <row r="1" ht="26" customHeight="1" spans="1:6" x14ac:dyDescent="0.25">
      <c r="A1" s="1" t="s">
        <v>1391</v>
      </c>
      <c r="B1" s="1"/>
      <c r="C1" s="1"/>
      <c r="D1" s="1"/>
      <c r="E1" s="1"/>
      <c r="F1" s="1"/>
    </row>
    <row r="2" ht="45" customHeight="1" spans="1:6" x14ac:dyDescent="0.25">
      <c r="A2" s="2" t="s">
        <v>1392</v>
      </c>
      <c r="B2" s="2"/>
      <c r="C2" s="2"/>
      <c r="D2" s="2"/>
      <c r="E2" s="2"/>
      <c r="F2" s="2"/>
    </row>
    <row r="4" ht="22" customHeight="1" spans="1:6" x14ac:dyDescent="0.25">
      <c r="A4" s="3" t="s">
        <v>1393</v>
      </c>
      <c r="B4" s="3"/>
      <c r="C4" s="3"/>
      <c r="D4" s="3"/>
      <c r="E4" s="3"/>
      <c r="F4" s="3"/>
    </row>
    <row r="5" ht="30" customHeight="1" spans="1:6" x14ac:dyDescent="0.25">
      <c r="A5" s="4" t="s">
        <v>34</v>
      </c>
      <c r="B5" s="4" t="s">
        <v>33</v>
      </c>
      <c r="C5" s="4" t="s">
        <v>38</v>
      </c>
      <c r="D5" s="4" t="s">
        <v>360</v>
      </c>
      <c r="E5" s="4" t="s">
        <v>1394</v>
      </c>
      <c r="F5" s="4" t="s">
        <v>1395</v>
      </c>
    </row>
    <row r="6" spans="1:6" x14ac:dyDescent="0.25">
      <c r="A6" s="5" t="s">
        <v>298</v>
      </c>
      <c r="B6" s="5" t="s">
        <v>4</v>
      </c>
      <c r="C6" s="8">
        <v>144755</v>
      </c>
      <c r="D6" s="5" t="s">
        <v>1396</v>
      </c>
      <c r="E6" s="5" t="s">
        <v>1397</v>
      </c>
      <c r="F6" s="5" t="s">
        <v>1398</v>
      </c>
    </row>
    <row r="7" spans="1:6" x14ac:dyDescent="0.25">
      <c r="A7" s="5" t="s">
        <v>265</v>
      </c>
      <c r="B7" s="5" t="s">
        <v>4</v>
      </c>
      <c r="C7" s="8">
        <v>138361.9</v>
      </c>
      <c r="D7" s="5" t="s">
        <v>1399</v>
      </c>
      <c r="E7" s="5" t="s">
        <v>1400</v>
      </c>
      <c r="F7" s="5" t="s">
        <v>1401</v>
      </c>
    </row>
    <row r="8" spans="1:6" x14ac:dyDescent="0.25">
      <c r="A8" s="5" t="s">
        <v>81</v>
      </c>
      <c r="B8" s="5" t="s">
        <v>4</v>
      </c>
      <c r="C8" s="8">
        <v>107263.42</v>
      </c>
      <c r="D8" s="5" t="s">
        <v>1402</v>
      </c>
      <c r="E8" s="5" t="s">
        <v>1403</v>
      </c>
      <c r="F8" s="5" t="s">
        <v>1404</v>
      </c>
    </row>
    <row r="9" spans="1:6" x14ac:dyDescent="0.25">
      <c r="A9" s="5" t="s">
        <v>270</v>
      </c>
      <c r="B9" s="5" t="s">
        <v>4</v>
      </c>
      <c r="C9" s="8">
        <v>84888.4</v>
      </c>
      <c r="D9" s="5" t="s">
        <v>1399</v>
      </c>
      <c r="E9" s="5" t="s">
        <v>1405</v>
      </c>
      <c r="F9" s="5" t="s">
        <v>1406</v>
      </c>
    </row>
    <row r="10" spans="1:6" x14ac:dyDescent="0.25">
      <c r="A10" s="5" t="s">
        <v>180</v>
      </c>
      <c r="B10" s="5" t="s">
        <v>4</v>
      </c>
      <c r="C10" s="8">
        <v>39535.74</v>
      </c>
      <c r="D10" s="5" t="s">
        <v>1399</v>
      </c>
      <c r="E10" s="5" t="s">
        <v>1407</v>
      </c>
      <c r="F10" s="5" t="s">
        <v>1408</v>
      </c>
    </row>
    <row r="11" spans="1:6" x14ac:dyDescent="0.25">
      <c r="A11" s="5" t="s">
        <v>88</v>
      </c>
      <c r="B11" s="5" t="s">
        <v>4</v>
      </c>
      <c r="C11" s="8">
        <v>30000</v>
      </c>
      <c r="D11" s="5" t="s">
        <v>1396</v>
      </c>
      <c r="E11" s="5" t="s">
        <v>1409</v>
      </c>
      <c r="F11" s="5" t="s">
        <v>1410</v>
      </c>
    </row>
    <row r="12" spans="1:6" x14ac:dyDescent="0.25">
      <c r="A12" s="5" t="s">
        <v>121</v>
      </c>
      <c r="B12" s="5" t="s">
        <v>4</v>
      </c>
      <c r="C12" s="8">
        <v>28491</v>
      </c>
      <c r="D12" s="5" t="s">
        <v>1399</v>
      </c>
      <c r="E12" s="5" t="s">
        <v>1411</v>
      </c>
      <c r="F12" s="5" t="s">
        <v>1412</v>
      </c>
    </row>
    <row r="13" spans="1:6" x14ac:dyDescent="0.25">
      <c r="A13" s="5" t="s">
        <v>678</v>
      </c>
      <c r="B13" s="5" t="s">
        <v>4</v>
      </c>
      <c r="C13" s="8">
        <v>22500</v>
      </c>
      <c r="D13" s="5" t="s">
        <v>1396</v>
      </c>
      <c r="E13" s="5" t="s">
        <v>1413</v>
      </c>
      <c r="F13" s="5" t="s">
        <v>1414</v>
      </c>
    </row>
    <row r="14" spans="1:6" x14ac:dyDescent="0.25">
      <c r="A14" s="5" t="s">
        <v>683</v>
      </c>
      <c r="B14" s="5" t="s">
        <v>4</v>
      </c>
      <c r="C14" s="8">
        <v>22000</v>
      </c>
      <c r="D14" s="5" t="s">
        <v>1396</v>
      </c>
      <c r="E14" s="5" t="s">
        <v>1415</v>
      </c>
      <c r="F14" s="5" t="s">
        <v>1416</v>
      </c>
    </row>
    <row r="15" spans="1:6" x14ac:dyDescent="0.25">
      <c r="A15" s="5" t="s">
        <v>681</v>
      </c>
      <c r="B15" s="5" t="s">
        <v>4</v>
      </c>
      <c r="C15" s="8">
        <v>22000</v>
      </c>
      <c r="D15" s="5" t="s">
        <v>1396</v>
      </c>
      <c r="E15" s="5" t="s">
        <v>1417</v>
      </c>
      <c r="F15" s="5" t="s">
        <v>1418</v>
      </c>
    </row>
    <row r="16" spans="1:6" x14ac:dyDescent="0.25">
      <c r="A16" s="5" t="s">
        <v>548</v>
      </c>
      <c r="B16" s="5" t="s">
        <v>4</v>
      </c>
      <c r="C16" s="8">
        <v>20036.07</v>
      </c>
      <c r="D16" s="5" t="s">
        <v>1419</v>
      </c>
      <c r="E16" s="5" t="s">
        <v>1420</v>
      </c>
      <c r="F16" s="5" t="s">
        <v>1421</v>
      </c>
    </row>
    <row r="17" spans="1:6" x14ac:dyDescent="0.25">
      <c r="A17" s="5" t="s">
        <v>131</v>
      </c>
      <c r="B17" s="5" t="s">
        <v>4</v>
      </c>
      <c r="C17" s="8">
        <v>19922.37</v>
      </c>
      <c r="D17" s="5" t="s">
        <v>1399</v>
      </c>
      <c r="E17" s="5" t="s">
        <v>1422</v>
      </c>
      <c r="F17" s="5" t="s">
        <v>1423</v>
      </c>
    </row>
    <row r="18" spans="1:6" x14ac:dyDescent="0.25">
      <c r="A18" s="5" t="s">
        <v>211</v>
      </c>
      <c r="B18" s="5" t="s">
        <v>4</v>
      </c>
      <c r="C18" s="8">
        <v>15827.53</v>
      </c>
      <c r="D18" s="5" t="s">
        <v>1424</v>
      </c>
      <c r="E18" s="5" t="s">
        <v>1425</v>
      </c>
      <c r="F18" s="5" t="s">
        <v>1426</v>
      </c>
    </row>
    <row r="19" spans="1:6" x14ac:dyDescent="0.25">
      <c r="A19" s="5" t="s">
        <v>686</v>
      </c>
      <c r="B19" s="5" t="s">
        <v>4</v>
      </c>
      <c r="C19" s="8">
        <v>15385</v>
      </c>
      <c r="D19" s="5" t="s">
        <v>1396</v>
      </c>
      <c r="E19" s="5" t="s">
        <v>1427</v>
      </c>
      <c r="F19" s="5" t="s">
        <v>1428</v>
      </c>
    </row>
    <row r="20" spans="1:6" x14ac:dyDescent="0.25">
      <c r="A20" s="5" t="s">
        <v>136</v>
      </c>
      <c r="B20" s="5" t="s">
        <v>4</v>
      </c>
      <c r="C20" s="8">
        <v>14250</v>
      </c>
      <c r="D20" s="5" t="s">
        <v>1429</v>
      </c>
      <c r="E20" s="5" t="s">
        <v>1430</v>
      </c>
      <c r="F20" s="5" t="s">
        <v>1431</v>
      </c>
    </row>
    <row r="21" spans="1:6" x14ac:dyDescent="0.25">
      <c r="A21" s="5" t="s">
        <v>218</v>
      </c>
      <c r="B21" s="5" t="s">
        <v>4</v>
      </c>
      <c r="C21" s="8">
        <v>13500</v>
      </c>
      <c r="D21" s="5" t="s">
        <v>1396</v>
      </c>
      <c r="E21" s="5" t="s">
        <v>1432</v>
      </c>
      <c r="F21" s="5" t="s">
        <v>1433</v>
      </c>
    </row>
    <row r="22" spans="1:6" x14ac:dyDescent="0.25">
      <c r="A22" s="5" t="s">
        <v>72</v>
      </c>
      <c r="B22" s="5" t="s">
        <v>4</v>
      </c>
      <c r="C22" s="8">
        <v>13333.33</v>
      </c>
      <c r="D22" s="5" t="s">
        <v>1429</v>
      </c>
      <c r="E22" s="5" t="s">
        <v>1434</v>
      </c>
      <c r="F22" s="5" t="s">
        <v>1435</v>
      </c>
    </row>
    <row r="23" spans="1:6" x14ac:dyDescent="0.25">
      <c r="A23" s="5" t="s">
        <v>508</v>
      </c>
      <c r="B23" s="5" t="s">
        <v>4</v>
      </c>
      <c r="C23" s="8">
        <v>13125</v>
      </c>
      <c r="D23" s="5" t="s">
        <v>1429</v>
      </c>
      <c r="E23" s="5" t="s">
        <v>1436</v>
      </c>
      <c r="F23" s="5" t="s">
        <v>1437</v>
      </c>
    </row>
    <row r="24" spans="1:6" x14ac:dyDescent="0.25">
      <c r="A24" s="5" t="s">
        <v>53</v>
      </c>
      <c r="B24" s="5" t="s">
        <v>4</v>
      </c>
      <c r="C24" s="8">
        <v>12666.67</v>
      </c>
      <c r="D24" s="5" t="s">
        <v>1429</v>
      </c>
      <c r="E24" s="5" t="s">
        <v>1438</v>
      </c>
      <c r="F24" s="5" t="s">
        <v>1439</v>
      </c>
    </row>
    <row r="25" spans="1:6" x14ac:dyDescent="0.25">
      <c r="A25" s="5" t="s">
        <v>530</v>
      </c>
      <c r="B25" s="5" t="s">
        <v>4</v>
      </c>
      <c r="C25" s="8">
        <v>11666.67</v>
      </c>
      <c r="D25" s="5" t="s">
        <v>1429</v>
      </c>
      <c r="E25" s="5" t="s">
        <v>1440</v>
      </c>
      <c r="F25" s="5" t="s">
        <v>1441</v>
      </c>
    </row>
    <row r="26" spans="1:6" x14ac:dyDescent="0.25">
      <c r="A26" s="5" t="s">
        <v>512</v>
      </c>
      <c r="B26" s="5" t="s">
        <v>4</v>
      </c>
      <c r="C26" s="8">
        <v>11550</v>
      </c>
      <c r="D26" s="5" t="s">
        <v>1429</v>
      </c>
      <c r="E26" s="5" t="s">
        <v>1442</v>
      </c>
      <c r="F26" s="5" t="s">
        <v>1443</v>
      </c>
    </row>
    <row r="27" spans="1:6" x14ac:dyDescent="0.25">
      <c r="A27" s="5" t="s">
        <v>199</v>
      </c>
      <c r="B27" s="5" t="s">
        <v>4</v>
      </c>
      <c r="C27" s="8">
        <v>11485.18</v>
      </c>
      <c r="D27" s="5" t="s">
        <v>1399</v>
      </c>
      <c r="E27" s="5" t="s">
        <v>1444</v>
      </c>
      <c r="F27" s="5" t="s">
        <v>1445</v>
      </c>
    </row>
    <row r="28" spans="1:6" x14ac:dyDescent="0.25">
      <c r="A28" s="5" t="s">
        <v>690</v>
      </c>
      <c r="B28" s="5" t="s">
        <v>4</v>
      </c>
      <c r="C28" s="8">
        <v>10000</v>
      </c>
      <c r="D28" s="5" t="s">
        <v>1396</v>
      </c>
      <c r="E28" s="5" t="s">
        <v>916</v>
      </c>
      <c r="F28" s="5" t="s">
        <v>1446</v>
      </c>
    </row>
    <row r="29" spans="1:6" x14ac:dyDescent="0.25">
      <c r="A29" s="5" t="s">
        <v>85</v>
      </c>
      <c r="B29" s="5" t="s">
        <v>4</v>
      </c>
      <c r="C29" s="8">
        <v>10000</v>
      </c>
      <c r="D29" s="5" t="s">
        <v>1396</v>
      </c>
      <c r="E29" s="5" t="s">
        <v>1447</v>
      </c>
      <c r="F29" s="5" t="s">
        <v>1448</v>
      </c>
    </row>
    <row r="30" spans="1:6" x14ac:dyDescent="0.25">
      <c r="A30" s="5" t="s">
        <v>506</v>
      </c>
      <c r="B30" s="5" t="s">
        <v>4</v>
      </c>
      <c r="C30" s="8">
        <v>9916.67</v>
      </c>
      <c r="D30" s="5" t="s">
        <v>1429</v>
      </c>
      <c r="E30" s="5" t="s">
        <v>1449</v>
      </c>
      <c r="F30" s="5" t="s">
        <v>1450</v>
      </c>
    </row>
    <row r="31" spans="1:6" x14ac:dyDescent="0.25">
      <c r="A31" s="5" t="s">
        <v>504</v>
      </c>
      <c r="B31" s="5" t="s">
        <v>4</v>
      </c>
      <c r="C31" s="8">
        <v>9500</v>
      </c>
      <c r="D31" s="5" t="s">
        <v>1396</v>
      </c>
      <c r="E31" s="5" t="s">
        <v>818</v>
      </c>
      <c r="F31" s="5" t="s">
        <v>1451</v>
      </c>
    </row>
    <row r="32" spans="1:6" x14ac:dyDescent="0.25">
      <c r="A32" s="5" t="s">
        <v>510</v>
      </c>
      <c r="B32" s="5" t="s">
        <v>4</v>
      </c>
      <c r="C32" s="8">
        <v>9333.33</v>
      </c>
      <c r="D32" s="5" t="s">
        <v>1429</v>
      </c>
      <c r="E32" s="5" t="s">
        <v>1452</v>
      </c>
      <c r="F32" s="5" t="s">
        <v>1453</v>
      </c>
    </row>
    <row r="33" spans="1:6" x14ac:dyDescent="0.25">
      <c r="A33" s="5" t="s">
        <v>514</v>
      </c>
      <c r="B33" s="5" t="s">
        <v>4</v>
      </c>
      <c r="C33" s="8">
        <v>9000</v>
      </c>
      <c r="D33" s="5" t="s">
        <v>1429</v>
      </c>
      <c r="E33" s="5" t="s">
        <v>1454</v>
      </c>
      <c r="F33" s="5" t="s">
        <v>1455</v>
      </c>
    </row>
    <row r="34" spans="1:6" x14ac:dyDescent="0.25">
      <c r="A34" s="5" t="s">
        <v>77</v>
      </c>
      <c r="B34" s="5" t="s">
        <v>4</v>
      </c>
      <c r="C34" s="8">
        <v>8166.67</v>
      </c>
      <c r="D34" s="5" t="s">
        <v>1429</v>
      </c>
      <c r="E34" s="5" t="s">
        <v>1456</v>
      </c>
      <c r="F34" s="5" t="s">
        <v>1457</v>
      </c>
    </row>
    <row r="35" spans="1:6" x14ac:dyDescent="0.25">
      <c r="A35" s="5" t="s">
        <v>140</v>
      </c>
      <c r="B35" s="5" t="s">
        <v>4</v>
      </c>
      <c r="C35" s="8">
        <v>7618.28</v>
      </c>
      <c r="D35" s="5" t="s">
        <v>1429</v>
      </c>
      <c r="E35" s="5" t="s">
        <v>1458</v>
      </c>
      <c r="F35" s="5" t="s">
        <v>1459</v>
      </c>
    </row>
    <row r="36" spans="1:6" x14ac:dyDescent="0.25">
      <c r="A36" s="5" t="s">
        <v>692</v>
      </c>
      <c r="B36" s="5" t="s">
        <v>4</v>
      </c>
      <c r="C36" s="8">
        <v>7333.33</v>
      </c>
      <c r="D36" s="5" t="s">
        <v>1396</v>
      </c>
      <c r="E36" s="5" t="s">
        <v>1460</v>
      </c>
      <c r="F36" s="5" t="s">
        <v>1461</v>
      </c>
    </row>
    <row r="37" spans="1:6" x14ac:dyDescent="0.25">
      <c r="A37" s="5" t="s">
        <v>140</v>
      </c>
      <c r="B37" s="5" t="s">
        <v>4</v>
      </c>
      <c r="C37" s="8">
        <v>7307</v>
      </c>
      <c r="D37" s="5" t="s">
        <v>1429</v>
      </c>
      <c r="E37" s="5" t="s">
        <v>1458</v>
      </c>
      <c r="F37" s="5" t="s">
        <v>1462</v>
      </c>
    </row>
    <row r="38" spans="1:6" x14ac:dyDescent="0.25">
      <c r="A38" s="5" t="s">
        <v>140</v>
      </c>
      <c r="B38" s="5" t="s">
        <v>4</v>
      </c>
      <c r="C38" s="8">
        <v>7307</v>
      </c>
      <c r="D38" s="5" t="s">
        <v>1429</v>
      </c>
      <c r="E38" s="5" t="s">
        <v>1458</v>
      </c>
      <c r="F38" s="5" t="s">
        <v>1463</v>
      </c>
    </row>
    <row r="39" spans="1:6" x14ac:dyDescent="0.25">
      <c r="A39" s="5" t="s">
        <v>727</v>
      </c>
      <c r="B39" s="5" t="s">
        <v>4</v>
      </c>
      <c r="C39" s="8">
        <v>7120.45</v>
      </c>
      <c r="D39" s="5" t="s">
        <v>1396</v>
      </c>
      <c r="E39" s="5" t="s">
        <v>1464</v>
      </c>
      <c r="F39" s="5" t="s">
        <v>1465</v>
      </c>
    </row>
    <row r="40" spans="1:6" x14ac:dyDescent="0.25">
      <c r="A40" s="5" t="s">
        <v>702</v>
      </c>
      <c r="B40" s="5" t="s">
        <v>4</v>
      </c>
      <c r="C40" s="8">
        <v>7000</v>
      </c>
      <c r="D40" s="5" t="s">
        <v>1396</v>
      </c>
      <c r="E40" s="5" t="s">
        <v>1466</v>
      </c>
      <c r="F40" s="5" t="s">
        <v>1467</v>
      </c>
    </row>
    <row r="41" spans="1:6" x14ac:dyDescent="0.25">
      <c r="A41" s="5" t="s">
        <v>516</v>
      </c>
      <c r="B41" s="5" t="s">
        <v>4</v>
      </c>
      <c r="C41" s="8">
        <v>7000</v>
      </c>
      <c r="D41" s="5" t="s">
        <v>1396</v>
      </c>
      <c r="E41" s="5" t="s">
        <v>1468</v>
      </c>
      <c r="F41" s="5" t="s">
        <v>1469</v>
      </c>
    </row>
    <row r="42" spans="1:6" x14ac:dyDescent="0.25">
      <c r="A42" s="5" t="s">
        <v>696</v>
      </c>
      <c r="B42" s="5" t="s">
        <v>4</v>
      </c>
      <c r="C42" s="8">
        <v>6909.56</v>
      </c>
      <c r="D42" s="5" t="s">
        <v>1396</v>
      </c>
      <c r="E42" s="5" t="s">
        <v>1470</v>
      </c>
      <c r="F42" s="5" t="s">
        <v>1471</v>
      </c>
    </row>
    <row r="43" spans="1:6" x14ac:dyDescent="0.25">
      <c r="A43" s="5" t="s">
        <v>696</v>
      </c>
      <c r="B43" s="5" t="s">
        <v>4</v>
      </c>
      <c r="C43" s="8">
        <v>6909.56</v>
      </c>
      <c r="D43" s="5" t="s">
        <v>1396</v>
      </c>
      <c r="E43" s="5" t="s">
        <v>1470</v>
      </c>
      <c r="F43" s="5" t="s">
        <v>1472</v>
      </c>
    </row>
    <row r="44" spans="1:6" x14ac:dyDescent="0.25">
      <c r="A44" s="5" t="s">
        <v>522</v>
      </c>
      <c r="B44" s="5" t="s">
        <v>4</v>
      </c>
      <c r="C44" s="8">
        <v>6906</v>
      </c>
      <c r="D44" s="5" t="s">
        <v>1429</v>
      </c>
      <c r="E44" s="5" t="s">
        <v>222</v>
      </c>
      <c r="F44" s="5" t="s">
        <v>1473</v>
      </c>
    </row>
    <row r="45" spans="1:6" x14ac:dyDescent="0.25">
      <c r="A45" s="5" t="s">
        <v>520</v>
      </c>
      <c r="B45" s="5" t="s">
        <v>4</v>
      </c>
      <c r="C45" s="8">
        <v>6906</v>
      </c>
      <c r="D45" s="5" t="s">
        <v>1429</v>
      </c>
      <c r="E45" s="5" t="s">
        <v>1474</v>
      </c>
      <c r="F45" s="5" t="s">
        <v>1475</v>
      </c>
    </row>
    <row r="46" spans="1:6" x14ac:dyDescent="0.25">
      <c r="A46" s="5" t="s">
        <v>723</v>
      </c>
      <c r="B46" s="5" t="s">
        <v>4</v>
      </c>
      <c r="C46" s="8">
        <v>6766.29</v>
      </c>
      <c r="D46" s="5" t="s">
        <v>1396</v>
      </c>
      <c r="E46" s="5" t="s">
        <v>1476</v>
      </c>
      <c r="F46" s="5" t="s">
        <v>1477</v>
      </c>
    </row>
    <row r="47" spans="1:6" x14ac:dyDescent="0.25">
      <c r="A47" s="5" t="s">
        <v>158</v>
      </c>
      <c r="B47" s="5" t="s">
        <v>4</v>
      </c>
      <c r="C47" s="8">
        <v>6726.46</v>
      </c>
      <c r="D47" s="5" t="s">
        <v>1396</v>
      </c>
      <c r="E47" s="5" t="s">
        <v>1478</v>
      </c>
      <c r="F47" s="5" t="s">
        <v>1479</v>
      </c>
    </row>
    <row r="48" spans="1:6" x14ac:dyDescent="0.25">
      <c r="A48" s="5" t="s">
        <v>225</v>
      </c>
      <c r="B48" s="5" t="s">
        <v>4</v>
      </c>
      <c r="C48" s="8">
        <v>5932.5</v>
      </c>
      <c r="D48" s="5" t="s">
        <v>1396</v>
      </c>
      <c r="E48" s="5" t="s">
        <v>1480</v>
      </c>
      <c r="F48" s="5" t="s">
        <v>1481</v>
      </c>
    </row>
    <row r="49" spans="1:6" x14ac:dyDescent="0.25">
      <c r="A49" s="5" t="s">
        <v>227</v>
      </c>
      <c r="B49" s="5" t="s">
        <v>4</v>
      </c>
      <c r="C49" s="8">
        <v>5775</v>
      </c>
      <c r="D49" s="5" t="s">
        <v>1396</v>
      </c>
      <c r="E49" s="5" t="s">
        <v>1482</v>
      </c>
      <c r="F49" s="5" t="s">
        <v>1483</v>
      </c>
    </row>
    <row r="50" spans="1:6" x14ac:dyDescent="0.25">
      <c r="A50" s="5" t="s">
        <v>573</v>
      </c>
      <c r="B50" s="5" t="s">
        <v>4</v>
      </c>
      <c r="C50" s="8">
        <v>5500</v>
      </c>
      <c r="D50" s="5" t="s">
        <v>1396</v>
      </c>
      <c r="E50" s="5" t="s">
        <v>1484</v>
      </c>
      <c r="F50" s="5" t="s">
        <v>1485</v>
      </c>
    </row>
    <row r="51" spans="1:6" x14ac:dyDescent="0.25">
      <c r="A51" s="5" t="s">
        <v>695</v>
      </c>
      <c r="B51" s="5" t="s">
        <v>4</v>
      </c>
      <c r="C51" s="8">
        <v>5500</v>
      </c>
      <c r="D51" s="5" t="s">
        <v>1396</v>
      </c>
      <c r="E51" s="5" t="s">
        <v>1486</v>
      </c>
      <c r="F51" s="5" t="s">
        <v>1487</v>
      </c>
    </row>
    <row r="52" spans="1:6" x14ac:dyDescent="0.25">
      <c r="A52" s="5" t="s">
        <v>700</v>
      </c>
      <c r="B52" s="5" t="s">
        <v>4</v>
      </c>
      <c r="C52" s="8">
        <v>5250</v>
      </c>
      <c r="D52" s="5" t="s">
        <v>1396</v>
      </c>
      <c r="E52" s="5" t="s">
        <v>1488</v>
      </c>
      <c r="F52" s="5" t="s">
        <v>1489</v>
      </c>
    </row>
    <row r="53" spans="1:6" x14ac:dyDescent="0.25">
      <c r="A53" s="5" t="s">
        <v>595</v>
      </c>
      <c r="B53" s="5" t="s">
        <v>4</v>
      </c>
      <c r="C53" s="8">
        <v>5130.97</v>
      </c>
      <c r="D53" s="5" t="s">
        <v>1490</v>
      </c>
      <c r="E53" s="5" t="s">
        <v>1491</v>
      </c>
      <c r="F53" s="5" t="s">
        <v>1492</v>
      </c>
    </row>
    <row r="54" spans="1:6" x14ac:dyDescent="0.25">
      <c r="A54" s="5" t="s">
        <v>714</v>
      </c>
      <c r="B54" s="5" t="s">
        <v>4</v>
      </c>
      <c r="C54" s="8">
        <v>5106.25</v>
      </c>
      <c r="D54" s="5" t="s">
        <v>1396</v>
      </c>
      <c r="E54" s="5" t="s">
        <v>1493</v>
      </c>
      <c r="F54" s="5" t="s">
        <v>1494</v>
      </c>
    </row>
    <row r="55" spans="1:6" x14ac:dyDescent="0.25">
      <c r="A55" s="5" t="s">
        <v>229</v>
      </c>
      <c r="B55" s="5" t="s">
        <v>4</v>
      </c>
      <c r="C55" s="8">
        <v>4840</v>
      </c>
      <c r="D55" s="5" t="s">
        <v>1396</v>
      </c>
      <c r="E55" s="5" t="s">
        <v>1495</v>
      </c>
      <c r="F55" s="5" t="s">
        <v>1496</v>
      </c>
    </row>
    <row r="56" spans="1:6" x14ac:dyDescent="0.25">
      <c r="A56" s="5" t="s">
        <v>220</v>
      </c>
      <c r="B56" s="5" t="s">
        <v>4</v>
      </c>
      <c r="C56" s="8">
        <v>4800</v>
      </c>
      <c r="D56" s="5" t="s">
        <v>1396</v>
      </c>
      <c r="E56" s="5" t="s">
        <v>1497</v>
      </c>
      <c r="F56" s="5" t="s">
        <v>1498</v>
      </c>
    </row>
    <row r="57" spans="1:6" x14ac:dyDescent="0.25">
      <c r="A57" s="5" t="s">
        <v>615</v>
      </c>
      <c r="B57" s="5" t="s">
        <v>4</v>
      </c>
      <c r="C57" s="8">
        <v>4335.11</v>
      </c>
      <c r="D57" s="5" t="s">
        <v>1499</v>
      </c>
      <c r="E57" s="5" t="s">
        <v>1500</v>
      </c>
      <c r="F57" s="5" t="s">
        <v>1501</v>
      </c>
    </row>
    <row r="58" spans="1:6" x14ac:dyDescent="0.25">
      <c r="A58" s="5" t="s">
        <v>712</v>
      </c>
      <c r="B58" s="5" t="s">
        <v>4</v>
      </c>
      <c r="C58" s="8">
        <v>4333.33</v>
      </c>
      <c r="D58" s="5" t="s">
        <v>1396</v>
      </c>
      <c r="E58" s="5" t="s">
        <v>1502</v>
      </c>
      <c r="F58" s="5" t="s">
        <v>1503</v>
      </c>
    </row>
    <row r="59" spans="1:6" x14ac:dyDescent="0.25">
      <c r="A59" s="5" t="s">
        <v>703</v>
      </c>
      <c r="B59" s="5" t="s">
        <v>4</v>
      </c>
      <c r="C59" s="8">
        <v>4000</v>
      </c>
      <c r="D59" s="5" t="s">
        <v>1396</v>
      </c>
      <c r="E59" s="5" t="s">
        <v>1504</v>
      </c>
      <c r="F59" s="5" t="s">
        <v>1505</v>
      </c>
    </row>
    <row r="60" spans="1:6" x14ac:dyDescent="0.25">
      <c r="A60" s="5" t="s">
        <v>535</v>
      </c>
      <c r="B60" s="5" t="s">
        <v>4</v>
      </c>
      <c r="C60" s="8">
        <v>3780</v>
      </c>
      <c r="D60" s="5" t="s">
        <v>1429</v>
      </c>
      <c r="E60" s="5" t="s">
        <v>231</v>
      </c>
      <c r="F60" s="5" t="s">
        <v>1506</v>
      </c>
    </row>
    <row r="61" spans="1:6" x14ac:dyDescent="0.25">
      <c r="A61" s="5" t="s">
        <v>725</v>
      </c>
      <c r="B61" s="5" t="s">
        <v>4</v>
      </c>
      <c r="C61" s="8">
        <v>3500</v>
      </c>
      <c r="D61" s="5" t="s">
        <v>1396</v>
      </c>
      <c r="E61" s="5" t="s">
        <v>1507</v>
      </c>
      <c r="F61" s="5" t="s">
        <v>1508</v>
      </c>
    </row>
    <row r="62" spans="1:6" x14ac:dyDescent="0.25">
      <c r="A62" s="5" t="s">
        <v>716</v>
      </c>
      <c r="B62" s="5" t="s">
        <v>4</v>
      </c>
      <c r="C62" s="8">
        <v>3417.5</v>
      </c>
      <c r="D62" s="5" t="s">
        <v>1396</v>
      </c>
      <c r="E62" s="5" t="s">
        <v>1509</v>
      </c>
      <c r="F62" s="5" t="s">
        <v>1510</v>
      </c>
    </row>
    <row r="63" spans="1:6" x14ac:dyDescent="0.25">
      <c r="A63" s="5" t="s">
        <v>290</v>
      </c>
      <c r="B63" s="5" t="s">
        <v>4</v>
      </c>
      <c r="C63" s="8">
        <v>3270.83</v>
      </c>
      <c r="D63" s="5" t="s">
        <v>1429</v>
      </c>
      <c r="E63" s="5" t="s">
        <v>1511</v>
      </c>
      <c r="F63" s="5" t="s">
        <v>1512</v>
      </c>
    </row>
    <row r="64" spans="1:6" x14ac:dyDescent="0.25">
      <c r="A64" s="5" t="s">
        <v>698</v>
      </c>
      <c r="B64" s="5" t="s">
        <v>4</v>
      </c>
      <c r="C64" s="8">
        <v>3125</v>
      </c>
      <c r="D64" s="5" t="s">
        <v>1396</v>
      </c>
      <c r="E64" s="5" t="s">
        <v>1513</v>
      </c>
      <c r="F64" s="5" t="s">
        <v>1514</v>
      </c>
    </row>
    <row r="65" spans="1:6" x14ac:dyDescent="0.25">
      <c r="A65" s="5" t="s">
        <v>552</v>
      </c>
      <c r="B65" s="5" t="s">
        <v>4</v>
      </c>
      <c r="C65" s="8">
        <v>3000</v>
      </c>
      <c r="D65" s="5" t="s">
        <v>1499</v>
      </c>
      <c r="E65" s="5" t="s">
        <v>1515</v>
      </c>
      <c r="F65" s="5" t="s">
        <v>1516</v>
      </c>
    </row>
    <row r="66" spans="1:6" x14ac:dyDescent="0.25">
      <c r="A66" s="5" t="s">
        <v>729</v>
      </c>
      <c r="B66" s="5" t="s">
        <v>4</v>
      </c>
      <c r="C66" s="8">
        <v>3000</v>
      </c>
      <c r="D66" s="5" t="s">
        <v>1396</v>
      </c>
      <c r="E66" s="5" t="s">
        <v>1517</v>
      </c>
      <c r="F66" s="5" t="s">
        <v>1518</v>
      </c>
    </row>
    <row r="67" spans="1:6" x14ac:dyDescent="0.25">
      <c r="A67" s="5" t="s">
        <v>733</v>
      </c>
      <c r="B67" s="5" t="s">
        <v>4</v>
      </c>
      <c r="C67" s="8">
        <v>3000</v>
      </c>
      <c r="D67" s="5" t="s">
        <v>1396</v>
      </c>
      <c r="E67" s="5" t="s">
        <v>1519</v>
      </c>
      <c r="F67" s="5" t="s">
        <v>1520</v>
      </c>
    </row>
    <row r="68" spans="1:6" x14ac:dyDescent="0.25">
      <c r="A68" s="5" t="s">
        <v>706</v>
      </c>
      <c r="B68" s="5" t="s">
        <v>4</v>
      </c>
      <c r="C68" s="8">
        <v>3000</v>
      </c>
      <c r="D68" s="5" t="s">
        <v>1396</v>
      </c>
      <c r="E68" s="5" t="s">
        <v>1521</v>
      </c>
      <c r="F68" s="5" t="s">
        <v>1522</v>
      </c>
    </row>
    <row r="69" spans="1:6" x14ac:dyDescent="0.25">
      <c r="A69" s="5" t="s">
        <v>158</v>
      </c>
      <c r="B69" s="5" t="s">
        <v>4</v>
      </c>
      <c r="C69" s="8">
        <v>3000</v>
      </c>
      <c r="D69" s="5" t="s">
        <v>1396</v>
      </c>
      <c r="E69" s="5" t="s">
        <v>1478</v>
      </c>
      <c r="F69" s="5" t="s">
        <v>1523</v>
      </c>
    </row>
    <row r="70" spans="1:6" x14ac:dyDescent="0.25">
      <c r="A70" s="5" t="s">
        <v>528</v>
      </c>
      <c r="B70" s="5" t="s">
        <v>4</v>
      </c>
      <c r="C70" s="8">
        <v>3000</v>
      </c>
      <c r="D70" s="5" t="s">
        <v>1429</v>
      </c>
      <c r="E70" s="5" t="s">
        <v>1524</v>
      </c>
      <c r="F70" s="5" t="s">
        <v>1525</v>
      </c>
    </row>
    <row r="71" spans="1:6" x14ac:dyDescent="0.25">
      <c r="A71" s="5" t="s">
        <v>694</v>
      </c>
      <c r="B71" s="5" t="s">
        <v>4</v>
      </c>
      <c r="C71" s="8">
        <v>3000</v>
      </c>
      <c r="D71" s="5" t="s">
        <v>1396</v>
      </c>
      <c r="E71" s="5" t="s">
        <v>1228</v>
      </c>
      <c r="F71" s="5" t="s">
        <v>1526</v>
      </c>
    </row>
    <row r="72" spans="1:6" x14ac:dyDescent="0.25">
      <c r="A72" s="5" t="s">
        <v>532</v>
      </c>
      <c r="B72" s="5" t="s">
        <v>4</v>
      </c>
      <c r="C72" s="8">
        <v>2833.33</v>
      </c>
      <c r="D72" s="5" t="s">
        <v>1429</v>
      </c>
      <c r="E72" s="5" t="s">
        <v>1527</v>
      </c>
      <c r="F72" s="5" t="s">
        <v>1528</v>
      </c>
    </row>
    <row r="73" spans="1:6" x14ac:dyDescent="0.25">
      <c r="A73" s="5" t="s">
        <v>523</v>
      </c>
      <c r="B73" s="5" t="s">
        <v>4</v>
      </c>
      <c r="C73" s="8">
        <v>2750</v>
      </c>
      <c r="D73" s="5" t="s">
        <v>1429</v>
      </c>
      <c r="E73" s="5" t="s">
        <v>1529</v>
      </c>
      <c r="F73" s="5" t="s">
        <v>1530</v>
      </c>
    </row>
    <row r="74" spans="1:6" x14ac:dyDescent="0.25">
      <c r="A74" s="5" t="s">
        <v>730</v>
      </c>
      <c r="B74" s="5" t="s">
        <v>4</v>
      </c>
      <c r="C74" s="8">
        <v>2625</v>
      </c>
      <c r="D74" s="5" t="s">
        <v>1396</v>
      </c>
      <c r="E74" s="5" t="s">
        <v>1531</v>
      </c>
      <c r="F74" s="5" t="s">
        <v>1532</v>
      </c>
    </row>
    <row r="75" spans="1:6" x14ac:dyDescent="0.25">
      <c r="A75" s="5" t="s">
        <v>734</v>
      </c>
      <c r="B75" s="5" t="s">
        <v>4</v>
      </c>
      <c r="C75" s="8">
        <v>2500</v>
      </c>
      <c r="D75" s="5" t="s">
        <v>1396</v>
      </c>
      <c r="E75" s="5" t="s">
        <v>1533</v>
      </c>
      <c r="F75" s="5" t="s">
        <v>1534</v>
      </c>
    </row>
    <row r="76" spans="1:6" x14ac:dyDescent="0.25">
      <c r="A76" s="5" t="s">
        <v>718</v>
      </c>
      <c r="B76" s="5" t="s">
        <v>4</v>
      </c>
      <c r="C76" s="8">
        <v>2500</v>
      </c>
      <c r="D76" s="5" t="s">
        <v>1396</v>
      </c>
      <c r="E76" s="5" t="s">
        <v>1535</v>
      </c>
      <c r="F76" s="5" t="s">
        <v>1536</v>
      </c>
    </row>
    <row r="77" spans="1:6" x14ac:dyDescent="0.25">
      <c r="A77" s="5" t="s">
        <v>158</v>
      </c>
      <c r="B77" s="5" t="s">
        <v>4</v>
      </c>
      <c r="C77" s="8">
        <v>2250</v>
      </c>
      <c r="D77" s="5" t="s">
        <v>1396</v>
      </c>
      <c r="E77" s="5" t="s">
        <v>1478</v>
      </c>
      <c r="F77" s="5" t="s">
        <v>1537</v>
      </c>
    </row>
    <row r="78" spans="1:6" x14ac:dyDescent="0.25">
      <c r="A78" s="5" t="s">
        <v>696</v>
      </c>
      <c r="B78" s="5" t="s">
        <v>4</v>
      </c>
      <c r="C78" s="8">
        <v>2250</v>
      </c>
      <c r="D78" s="5" t="s">
        <v>1396</v>
      </c>
      <c r="E78" s="5" t="s">
        <v>1470</v>
      </c>
      <c r="F78" s="5" t="s">
        <v>1538</v>
      </c>
    </row>
    <row r="79" spans="1:6" x14ac:dyDescent="0.25">
      <c r="A79" s="5" t="s">
        <v>735</v>
      </c>
      <c r="B79" s="5" t="s">
        <v>4</v>
      </c>
      <c r="C79" s="8">
        <v>2000</v>
      </c>
      <c r="D79" s="5" t="s">
        <v>1396</v>
      </c>
      <c r="E79" s="5" t="s">
        <v>1539</v>
      </c>
      <c r="F79" s="5" t="s">
        <v>1540</v>
      </c>
    </row>
    <row r="80" spans="1:6" x14ac:dyDescent="0.25">
      <c r="A80" s="5" t="s">
        <v>655</v>
      </c>
      <c r="B80" s="5" t="s">
        <v>4</v>
      </c>
      <c r="C80" s="8">
        <v>1800</v>
      </c>
      <c r="D80" s="5" t="s">
        <v>1541</v>
      </c>
      <c r="E80" s="5" t="s">
        <v>1542</v>
      </c>
      <c r="F80" s="5" t="s">
        <v>1543</v>
      </c>
    </row>
    <row r="81" spans="1:6" x14ac:dyDescent="0.25">
      <c r="A81" s="5" t="s">
        <v>598</v>
      </c>
      <c r="B81" s="5" t="s">
        <v>4</v>
      </c>
      <c r="C81" s="8">
        <v>1633.48</v>
      </c>
      <c r="D81" s="5" t="s">
        <v>1424</v>
      </c>
      <c r="E81" s="5" t="s">
        <v>1544</v>
      </c>
      <c r="F81" s="5" t="s">
        <v>1545</v>
      </c>
    </row>
    <row r="82" spans="1:6" x14ac:dyDescent="0.25">
      <c r="A82" s="5" t="s">
        <v>723</v>
      </c>
      <c r="B82" s="5" t="s">
        <v>4</v>
      </c>
      <c r="C82" s="8">
        <v>1500</v>
      </c>
      <c r="D82" s="5" t="s">
        <v>1396</v>
      </c>
      <c r="E82" s="5" t="s">
        <v>1476</v>
      </c>
      <c r="F82" s="5" t="s">
        <v>1546</v>
      </c>
    </row>
    <row r="83" spans="1:6" x14ac:dyDescent="0.25">
      <c r="A83" s="5" t="s">
        <v>556</v>
      </c>
      <c r="B83" s="5" t="s">
        <v>4</v>
      </c>
      <c r="C83" s="8">
        <v>1425.91</v>
      </c>
      <c r="D83" s="5" t="s">
        <v>1402</v>
      </c>
      <c r="E83" s="5" t="s">
        <v>1547</v>
      </c>
      <c r="F83" s="5" t="s">
        <v>1548</v>
      </c>
    </row>
    <row r="84" spans="1:6" x14ac:dyDescent="0.25">
      <c r="A84" s="5" t="s">
        <v>537</v>
      </c>
      <c r="B84" s="5" t="s">
        <v>4</v>
      </c>
      <c r="C84" s="8">
        <v>1333.33</v>
      </c>
      <c r="D84" s="5" t="s">
        <v>1429</v>
      </c>
      <c r="E84" s="5" t="s">
        <v>1549</v>
      </c>
      <c r="F84" s="5" t="s">
        <v>1550</v>
      </c>
    </row>
    <row r="85" spans="1:6" x14ac:dyDescent="0.25">
      <c r="A85" s="5" t="s">
        <v>539</v>
      </c>
      <c r="B85" s="5" t="s">
        <v>4</v>
      </c>
      <c r="C85" s="8">
        <v>1250</v>
      </c>
      <c r="D85" s="5" t="s">
        <v>1429</v>
      </c>
      <c r="E85" s="5" t="s">
        <v>1551</v>
      </c>
      <c r="F85" s="5" t="s">
        <v>1552</v>
      </c>
    </row>
    <row r="86" spans="1:6" x14ac:dyDescent="0.25">
      <c r="A86" s="5" t="s">
        <v>753</v>
      </c>
      <c r="B86" s="5" t="s">
        <v>4</v>
      </c>
      <c r="C86" s="8">
        <v>1051.7</v>
      </c>
      <c r="D86" s="5" t="s">
        <v>1553</v>
      </c>
      <c r="E86" s="5" t="s">
        <v>1554</v>
      </c>
      <c r="F86" s="5" t="s">
        <v>1555</v>
      </c>
    </row>
    <row r="87" spans="1:6" x14ac:dyDescent="0.25">
      <c r="A87" s="5" t="s">
        <v>627</v>
      </c>
      <c r="B87" s="5" t="s">
        <v>4</v>
      </c>
      <c r="C87" s="8">
        <v>373.96</v>
      </c>
      <c r="D87" s="5" t="s">
        <v>1553</v>
      </c>
      <c r="E87" s="5" t="s">
        <v>1554</v>
      </c>
      <c r="F87" s="5" t="s">
        <v>1556</v>
      </c>
    </row>
    <row r="88" spans="1:6" x14ac:dyDescent="0.25">
      <c r="A88" s="5" t="s">
        <v>633</v>
      </c>
      <c r="B88" s="5" t="s">
        <v>4</v>
      </c>
      <c r="C88" s="8">
        <v>332.54</v>
      </c>
      <c r="D88" s="5" t="s">
        <v>1557</v>
      </c>
      <c r="E88" s="5" t="s">
        <v>1558</v>
      </c>
      <c r="F88" s="5" t="s">
        <v>1559</v>
      </c>
    </row>
    <row r="89" spans="1:6" x14ac:dyDescent="0.25">
      <c r="A89" s="5" t="s">
        <v>627</v>
      </c>
      <c r="B89" s="5" t="s">
        <v>4</v>
      </c>
      <c r="C89" s="8">
        <v>169.97</v>
      </c>
      <c r="D89" s="5" t="s">
        <v>1553</v>
      </c>
      <c r="E89" s="5" t="s">
        <v>1554</v>
      </c>
      <c r="F89" s="5" t="s">
        <v>1560</v>
      </c>
    </row>
    <row r="90" spans="1:6" x14ac:dyDescent="0.25">
      <c r="A90" s="5" t="s">
        <v>606</v>
      </c>
      <c r="B90" s="5" t="s">
        <v>4</v>
      </c>
      <c r="C90" s="8">
        <v>118.99</v>
      </c>
      <c r="D90" s="5" t="s">
        <v>1424</v>
      </c>
      <c r="E90" s="5" t="s">
        <v>1561</v>
      </c>
      <c r="F90" s="5" t="s">
        <v>1562</v>
      </c>
    </row>
    <row r="91" spans="1:6" x14ac:dyDescent="0.25">
      <c r="A91" s="5" t="s">
        <v>567</v>
      </c>
      <c r="B91" s="5" t="s">
        <v>4</v>
      </c>
      <c r="C91" s="8">
        <v>89</v>
      </c>
      <c r="D91" s="5" t="s">
        <v>1424</v>
      </c>
      <c r="E91" s="5" t="s">
        <v>1563</v>
      </c>
      <c r="F91" s="5" t="s">
        <v>1564</v>
      </c>
    </row>
    <row r="92" spans="1:6" x14ac:dyDescent="0.25">
      <c r="A92" s="5" t="s">
        <v>770</v>
      </c>
      <c r="B92" s="5" t="s">
        <v>4</v>
      </c>
      <c r="C92" s="8">
        <v>79.9</v>
      </c>
      <c r="D92" s="5" t="s">
        <v>1565</v>
      </c>
      <c r="E92" s="5" t="s">
        <v>1566</v>
      </c>
      <c r="F92" s="5" t="s">
        <v>1567</v>
      </c>
    </row>
    <row r="93" spans="1:6" x14ac:dyDescent="0.25">
      <c r="A93" s="5" t="s">
        <v>575</v>
      </c>
      <c r="B93" s="5" t="s">
        <v>4</v>
      </c>
      <c r="C93" s="8">
        <v>75.24</v>
      </c>
      <c r="D93" s="5" t="s">
        <v>1396</v>
      </c>
      <c r="E93" s="5" t="s">
        <v>1568</v>
      </c>
      <c r="F93" s="5" t="s">
        <v>1569</v>
      </c>
    </row>
    <row r="94" spans="1:6" x14ac:dyDescent="0.25">
      <c r="A94" s="5" t="s">
        <v>759</v>
      </c>
      <c r="B94" s="5" t="s">
        <v>4</v>
      </c>
      <c r="C94" s="8">
        <v>35</v>
      </c>
      <c r="D94" s="5" t="s">
        <v>1553</v>
      </c>
      <c r="E94" s="5" t="s">
        <v>1554</v>
      </c>
      <c r="F94" s="5" t="s">
        <v>1570</v>
      </c>
    </row>
    <row r="95" spans="1:6" x14ac:dyDescent="0.25">
      <c r="A95" s="5" t="s">
        <v>108</v>
      </c>
      <c r="B95" s="5" t="s">
        <v>5</v>
      </c>
      <c r="C95" s="8">
        <v>40000</v>
      </c>
      <c r="D95" s="5" t="s">
        <v>1571</v>
      </c>
      <c r="E95" s="5" t="s">
        <v>1572</v>
      </c>
      <c r="F95" s="5" t="s">
        <v>1573</v>
      </c>
    </row>
    <row r="96" spans="1:6" x14ac:dyDescent="0.25">
      <c r="A96" s="5" t="s">
        <v>694</v>
      </c>
      <c r="B96" s="5" t="s">
        <v>5</v>
      </c>
      <c r="C96" s="8">
        <v>13500</v>
      </c>
      <c r="D96" s="5" t="s">
        <v>1396</v>
      </c>
      <c r="E96" s="5" t="s">
        <v>1228</v>
      </c>
      <c r="F96" s="5" t="s">
        <v>1574</v>
      </c>
    </row>
    <row r="97" spans="1:6" x14ac:dyDescent="0.25">
      <c r="A97" s="5" t="s">
        <v>280</v>
      </c>
      <c r="B97" s="5" t="s">
        <v>5</v>
      </c>
      <c r="C97" s="8">
        <v>8500</v>
      </c>
      <c r="D97" s="5" t="s">
        <v>1396</v>
      </c>
      <c r="E97" s="5" t="s">
        <v>1575</v>
      </c>
      <c r="F97" s="5" t="s">
        <v>1576</v>
      </c>
    </row>
    <row r="98" spans="1:6" x14ac:dyDescent="0.25">
      <c r="A98" s="5" t="s">
        <v>878</v>
      </c>
      <c r="B98" s="5" t="s">
        <v>5</v>
      </c>
      <c r="C98" s="8">
        <v>5789.35</v>
      </c>
      <c r="D98" s="5" t="s">
        <v>1577</v>
      </c>
      <c r="E98" s="5" t="s">
        <v>1544</v>
      </c>
      <c r="F98" s="5" t="s">
        <v>1578</v>
      </c>
    </row>
    <row r="99" spans="1:6" x14ac:dyDescent="0.25">
      <c r="A99" s="5" t="s">
        <v>626</v>
      </c>
      <c r="B99" s="5" t="s">
        <v>5</v>
      </c>
      <c r="C99" s="8">
        <v>3878.2</v>
      </c>
      <c r="D99" s="5" t="s">
        <v>1577</v>
      </c>
      <c r="E99" s="5" t="s">
        <v>1544</v>
      </c>
      <c r="F99" s="5" t="s">
        <v>1579</v>
      </c>
    </row>
    <row r="100" spans="1:6" x14ac:dyDescent="0.25">
      <c r="A100" s="5" t="s">
        <v>877</v>
      </c>
      <c r="B100" s="5" t="s">
        <v>5</v>
      </c>
      <c r="C100" s="8">
        <v>3000</v>
      </c>
      <c r="D100" s="5" t="s">
        <v>1429</v>
      </c>
      <c r="E100" s="5" t="s">
        <v>1454</v>
      </c>
      <c r="F100" s="5" t="s">
        <v>1580</v>
      </c>
    </row>
    <row r="101" spans="1:6" x14ac:dyDescent="0.25">
      <c r="A101" s="5" t="s">
        <v>877</v>
      </c>
      <c r="B101" s="5" t="s">
        <v>5</v>
      </c>
      <c r="C101" s="8">
        <v>3000</v>
      </c>
      <c r="D101" s="5" t="s">
        <v>1429</v>
      </c>
      <c r="E101" s="5" t="s">
        <v>1454</v>
      </c>
      <c r="F101" s="5" t="s">
        <v>1581</v>
      </c>
    </row>
    <row r="102" spans="1:6" x14ac:dyDescent="0.25">
      <c r="A102" s="5" t="s">
        <v>884</v>
      </c>
      <c r="B102" s="5" t="s">
        <v>5</v>
      </c>
      <c r="C102" s="8">
        <v>3000</v>
      </c>
      <c r="D102" s="5" t="s">
        <v>1577</v>
      </c>
      <c r="E102" s="5" t="s">
        <v>1544</v>
      </c>
      <c r="F102" s="5" t="s">
        <v>1582</v>
      </c>
    </row>
    <row r="103" spans="1:6" x14ac:dyDescent="0.25">
      <c r="A103" s="5" t="s">
        <v>886</v>
      </c>
      <c r="B103" s="5" t="s">
        <v>5</v>
      </c>
      <c r="C103" s="8">
        <v>2920.03</v>
      </c>
      <c r="D103" s="5" t="s">
        <v>1577</v>
      </c>
      <c r="E103" s="5" t="s">
        <v>1544</v>
      </c>
      <c r="F103" s="5" t="s">
        <v>1583</v>
      </c>
    </row>
    <row r="104" spans="1:6" x14ac:dyDescent="0.25">
      <c r="A104" s="5" t="s">
        <v>888</v>
      </c>
      <c r="B104" s="5" t="s">
        <v>5</v>
      </c>
      <c r="C104" s="8">
        <v>2754.88</v>
      </c>
      <c r="D104" s="5" t="s">
        <v>1429</v>
      </c>
      <c r="E104" s="5" t="s">
        <v>1584</v>
      </c>
      <c r="F104" s="5" t="s">
        <v>1585</v>
      </c>
    </row>
    <row r="105" spans="1:6" x14ac:dyDescent="0.25">
      <c r="A105" s="5" t="s">
        <v>626</v>
      </c>
      <c r="B105" s="5" t="s">
        <v>5</v>
      </c>
      <c r="C105" s="8">
        <v>2699.1</v>
      </c>
      <c r="D105" s="5" t="s">
        <v>1577</v>
      </c>
      <c r="E105" s="5" t="s">
        <v>1544</v>
      </c>
      <c r="F105" s="5" t="s">
        <v>1586</v>
      </c>
    </row>
    <row r="106" spans="1:6" x14ac:dyDescent="0.25">
      <c r="A106" s="5" t="s">
        <v>890</v>
      </c>
      <c r="B106" s="5" t="s">
        <v>5</v>
      </c>
      <c r="C106" s="8">
        <v>2500</v>
      </c>
      <c r="D106" s="5" t="s">
        <v>1587</v>
      </c>
      <c r="E106" s="5" t="s">
        <v>1588</v>
      </c>
      <c r="F106" s="5" t="s">
        <v>1589</v>
      </c>
    </row>
    <row r="107" spans="1:6" x14ac:dyDescent="0.25">
      <c r="A107" s="5" t="s">
        <v>891</v>
      </c>
      <c r="B107" s="5" t="s">
        <v>5</v>
      </c>
      <c r="C107" s="8">
        <v>2450.65</v>
      </c>
      <c r="D107" s="5" t="s">
        <v>1577</v>
      </c>
      <c r="E107" s="5" t="s">
        <v>1544</v>
      </c>
      <c r="F107" s="5" t="s">
        <v>1590</v>
      </c>
    </row>
    <row r="108" spans="1:6" x14ac:dyDescent="0.25">
      <c r="A108" s="5" t="s">
        <v>882</v>
      </c>
      <c r="B108" s="5" t="s">
        <v>5</v>
      </c>
      <c r="C108" s="8">
        <v>2000</v>
      </c>
      <c r="D108" s="5" t="s">
        <v>1591</v>
      </c>
      <c r="E108" s="5" t="s">
        <v>1592</v>
      </c>
      <c r="F108" s="5" t="s">
        <v>1593</v>
      </c>
    </row>
    <row r="109" spans="1:6" x14ac:dyDescent="0.25">
      <c r="A109" s="5" t="s">
        <v>626</v>
      </c>
      <c r="B109" s="5" t="s">
        <v>5</v>
      </c>
      <c r="C109" s="8">
        <v>1999.9</v>
      </c>
      <c r="D109" s="5" t="s">
        <v>1577</v>
      </c>
      <c r="E109" s="5" t="s">
        <v>1544</v>
      </c>
      <c r="F109" s="5" t="s">
        <v>1594</v>
      </c>
    </row>
    <row r="110" spans="1:6" x14ac:dyDescent="0.25">
      <c r="A110" s="5" t="s">
        <v>893</v>
      </c>
      <c r="B110" s="5" t="s">
        <v>5</v>
      </c>
      <c r="C110" s="8">
        <v>1897</v>
      </c>
      <c r="D110" s="5" t="s">
        <v>1577</v>
      </c>
      <c r="E110" s="5" t="s">
        <v>1544</v>
      </c>
      <c r="F110" s="5" t="s">
        <v>1595</v>
      </c>
    </row>
    <row r="111" spans="1:6" x14ac:dyDescent="0.25">
      <c r="A111" s="5" t="s">
        <v>895</v>
      </c>
      <c r="B111" s="5" t="s">
        <v>5</v>
      </c>
      <c r="C111" s="8">
        <v>1883.82</v>
      </c>
      <c r="D111" s="5" t="s">
        <v>1577</v>
      </c>
      <c r="E111" s="5" t="s">
        <v>1544</v>
      </c>
      <c r="F111" s="5" t="s">
        <v>1596</v>
      </c>
    </row>
    <row r="112" spans="1:6" x14ac:dyDescent="0.25">
      <c r="A112" s="5" t="s">
        <v>897</v>
      </c>
      <c r="B112" s="5" t="s">
        <v>5</v>
      </c>
      <c r="C112" s="8">
        <v>1797</v>
      </c>
      <c r="D112" s="5" t="s">
        <v>1577</v>
      </c>
      <c r="E112" s="5" t="s">
        <v>1544</v>
      </c>
      <c r="F112" s="5" t="s">
        <v>1597</v>
      </c>
    </row>
    <row r="113" spans="1:6" x14ac:dyDescent="0.25">
      <c r="A113" s="5" t="s">
        <v>899</v>
      </c>
      <c r="B113" s="5" t="s">
        <v>5</v>
      </c>
      <c r="C113" s="8">
        <v>1731</v>
      </c>
      <c r="D113" s="5" t="s">
        <v>1429</v>
      </c>
      <c r="E113" s="5" t="s">
        <v>1584</v>
      </c>
      <c r="F113" s="5" t="s">
        <v>1598</v>
      </c>
    </row>
    <row r="114" spans="1:6" x14ac:dyDescent="0.25">
      <c r="A114" s="5" t="s">
        <v>903</v>
      </c>
      <c r="B114" s="5" t="s">
        <v>5</v>
      </c>
      <c r="C114" s="8">
        <v>1350</v>
      </c>
      <c r="D114" s="5" t="s">
        <v>1577</v>
      </c>
      <c r="E114" s="5" t="s">
        <v>1544</v>
      </c>
      <c r="F114" s="5" t="s">
        <v>1599</v>
      </c>
    </row>
    <row r="115" spans="1:6" x14ac:dyDescent="0.25">
      <c r="A115" s="5" t="s">
        <v>905</v>
      </c>
      <c r="B115" s="5" t="s">
        <v>5</v>
      </c>
      <c r="C115" s="8">
        <v>1318.71</v>
      </c>
      <c r="D115" s="5" t="s">
        <v>1577</v>
      </c>
      <c r="E115" s="5" t="s">
        <v>1544</v>
      </c>
      <c r="F115" s="5" t="s">
        <v>1600</v>
      </c>
    </row>
    <row r="116" spans="1:6" x14ac:dyDescent="0.25">
      <c r="A116" s="5" t="s">
        <v>907</v>
      </c>
      <c r="B116" s="5" t="s">
        <v>5</v>
      </c>
      <c r="C116" s="8">
        <v>1250</v>
      </c>
      <c r="D116" s="5" t="s">
        <v>1396</v>
      </c>
      <c r="E116" s="5" t="s">
        <v>907</v>
      </c>
      <c r="F116" s="5" t="s">
        <v>1593</v>
      </c>
    </row>
    <row r="117" spans="1:6" x14ac:dyDescent="0.25">
      <c r="A117" s="5" t="s">
        <v>909</v>
      </c>
      <c r="B117" s="5" t="s">
        <v>5</v>
      </c>
      <c r="C117" s="8">
        <v>1225.2</v>
      </c>
      <c r="D117" s="5" t="s">
        <v>1577</v>
      </c>
      <c r="E117" s="5" t="s">
        <v>1544</v>
      </c>
      <c r="F117" s="5" t="s">
        <v>1601</v>
      </c>
    </row>
    <row r="118" spans="1:6" x14ac:dyDescent="0.25">
      <c r="A118" s="5" t="s">
        <v>911</v>
      </c>
      <c r="B118" s="5" t="s">
        <v>5</v>
      </c>
      <c r="C118" s="8">
        <v>1140.42</v>
      </c>
      <c r="D118" s="5" t="s">
        <v>1577</v>
      </c>
      <c r="E118" s="5" t="s">
        <v>1544</v>
      </c>
      <c r="F118" s="5" t="s">
        <v>1602</v>
      </c>
    </row>
    <row r="119" spans="1:6" x14ac:dyDescent="0.25">
      <c r="A119" s="5" t="s">
        <v>626</v>
      </c>
      <c r="B119" s="5" t="s">
        <v>5</v>
      </c>
      <c r="C119" s="8">
        <v>1096.62</v>
      </c>
      <c r="D119" s="5" t="s">
        <v>1577</v>
      </c>
      <c r="E119" s="5" t="s">
        <v>1544</v>
      </c>
      <c r="F119" s="5" t="s">
        <v>1603</v>
      </c>
    </row>
    <row r="120" spans="1:6" x14ac:dyDescent="0.25">
      <c r="A120" s="5" t="s">
        <v>914</v>
      </c>
      <c r="B120" s="5" t="s">
        <v>5</v>
      </c>
      <c r="C120" s="8">
        <v>1003.07</v>
      </c>
      <c r="D120" s="5" t="s">
        <v>1577</v>
      </c>
      <c r="E120" s="5" t="s">
        <v>1544</v>
      </c>
      <c r="F120" s="5" t="s">
        <v>1604</v>
      </c>
    </row>
    <row r="121" spans="1:6" x14ac:dyDescent="0.25">
      <c r="A121" s="5" t="s">
        <v>918</v>
      </c>
      <c r="B121" s="5" t="s">
        <v>5</v>
      </c>
      <c r="C121" s="8">
        <v>868.9</v>
      </c>
      <c r="D121" s="5" t="s">
        <v>1577</v>
      </c>
      <c r="E121" s="5" t="s">
        <v>1544</v>
      </c>
      <c r="F121" s="5" t="s">
        <v>1605</v>
      </c>
    </row>
    <row r="122" spans="1:6" x14ac:dyDescent="0.25">
      <c r="A122" s="5" t="s">
        <v>922</v>
      </c>
      <c r="B122" s="5" t="s">
        <v>5</v>
      </c>
      <c r="C122" s="8">
        <v>829.88</v>
      </c>
      <c r="D122" s="5" t="s">
        <v>1577</v>
      </c>
      <c r="E122" s="5" t="s">
        <v>1544</v>
      </c>
      <c r="F122" s="5" t="s">
        <v>1606</v>
      </c>
    </row>
    <row r="123" spans="1:6" x14ac:dyDescent="0.25">
      <c r="A123" s="5" t="s">
        <v>916</v>
      </c>
      <c r="B123" s="5" t="s">
        <v>5</v>
      </c>
      <c r="C123" s="8">
        <v>824.64</v>
      </c>
      <c r="D123" s="5" t="s">
        <v>1396</v>
      </c>
      <c r="E123" s="5" t="s">
        <v>916</v>
      </c>
      <c r="F123" s="5" t="s">
        <v>1607</v>
      </c>
    </row>
    <row r="124" spans="1:6" x14ac:dyDescent="0.25">
      <c r="A124" s="5" t="s">
        <v>926</v>
      </c>
      <c r="B124" s="5" t="s">
        <v>5</v>
      </c>
      <c r="C124" s="8">
        <v>798.65</v>
      </c>
      <c r="D124" s="5" t="s">
        <v>1577</v>
      </c>
      <c r="E124" s="5" t="s">
        <v>1544</v>
      </c>
      <c r="F124" s="5" t="s">
        <v>1608</v>
      </c>
    </row>
    <row r="125" spans="1:6" x14ac:dyDescent="0.25">
      <c r="A125" s="5" t="s">
        <v>626</v>
      </c>
      <c r="B125" s="5" t="s">
        <v>5</v>
      </c>
      <c r="C125" s="8">
        <v>781.31</v>
      </c>
      <c r="D125" s="5" t="s">
        <v>1577</v>
      </c>
      <c r="E125" s="5" t="s">
        <v>1544</v>
      </c>
      <c r="F125" s="5" t="s">
        <v>1603</v>
      </c>
    </row>
    <row r="126" spans="1:6" x14ac:dyDescent="0.25">
      <c r="A126" s="5" t="s">
        <v>646</v>
      </c>
      <c r="B126" s="5" t="s">
        <v>5</v>
      </c>
      <c r="C126" s="8">
        <v>583.16</v>
      </c>
      <c r="D126" s="5" t="s">
        <v>1577</v>
      </c>
      <c r="E126" s="5" t="s">
        <v>1544</v>
      </c>
      <c r="F126" s="5" t="s">
        <v>1609</v>
      </c>
    </row>
    <row r="127" spans="1:6" x14ac:dyDescent="0.25">
      <c r="A127" s="5" t="s">
        <v>929</v>
      </c>
      <c r="B127" s="5" t="s">
        <v>5</v>
      </c>
      <c r="C127" s="8">
        <v>579.91</v>
      </c>
      <c r="D127" s="5" t="s">
        <v>1577</v>
      </c>
      <c r="E127" s="5" t="s">
        <v>1544</v>
      </c>
      <c r="F127" s="5" t="s">
        <v>1610</v>
      </c>
    </row>
    <row r="128" spans="1:6" x14ac:dyDescent="0.25">
      <c r="A128" s="5" t="s">
        <v>931</v>
      </c>
      <c r="B128" s="5" t="s">
        <v>5</v>
      </c>
      <c r="C128" s="8">
        <v>550</v>
      </c>
      <c r="D128" s="5" t="s">
        <v>1396</v>
      </c>
      <c r="E128" s="5" t="s">
        <v>1432</v>
      </c>
      <c r="F128" s="5" t="s">
        <v>1611</v>
      </c>
    </row>
    <row r="129" spans="1:6" x14ac:dyDescent="0.25">
      <c r="A129" s="5" t="s">
        <v>933</v>
      </c>
      <c r="B129" s="5" t="s">
        <v>5</v>
      </c>
      <c r="C129" s="8">
        <v>510</v>
      </c>
      <c r="D129" s="5" t="s">
        <v>1577</v>
      </c>
      <c r="E129" s="5" t="s">
        <v>1544</v>
      </c>
      <c r="F129" s="5" t="s">
        <v>1612</v>
      </c>
    </row>
    <row r="130" spans="1:6" x14ac:dyDescent="0.25">
      <c r="A130" s="5" t="s">
        <v>920</v>
      </c>
      <c r="B130" s="5" t="s">
        <v>5</v>
      </c>
      <c r="C130" s="8">
        <v>499</v>
      </c>
      <c r="D130" s="5" t="s">
        <v>1577</v>
      </c>
      <c r="E130" s="5" t="s">
        <v>1544</v>
      </c>
      <c r="F130" s="5" t="s">
        <v>1613</v>
      </c>
    </row>
    <row r="131" spans="1:6" x14ac:dyDescent="0.25">
      <c r="A131" s="5" t="s">
        <v>935</v>
      </c>
      <c r="B131" s="5" t="s">
        <v>5</v>
      </c>
      <c r="C131" s="8">
        <v>462.76</v>
      </c>
      <c r="D131" s="5" t="s">
        <v>1577</v>
      </c>
      <c r="E131" s="5" t="s">
        <v>1544</v>
      </c>
      <c r="F131" s="5" t="s">
        <v>1614</v>
      </c>
    </row>
    <row r="132" spans="1:6" x14ac:dyDescent="0.25">
      <c r="A132" s="5" t="s">
        <v>938</v>
      </c>
      <c r="B132" s="5" t="s">
        <v>5</v>
      </c>
      <c r="C132" s="8">
        <v>399.6</v>
      </c>
      <c r="D132" s="5" t="s">
        <v>1577</v>
      </c>
      <c r="E132" s="5" t="s">
        <v>1544</v>
      </c>
      <c r="F132" s="5" t="s">
        <v>1615</v>
      </c>
    </row>
    <row r="133" spans="1:6" x14ac:dyDescent="0.25">
      <c r="A133" s="5" t="s">
        <v>626</v>
      </c>
      <c r="B133" s="5" t="s">
        <v>5</v>
      </c>
      <c r="C133" s="8">
        <v>383.27</v>
      </c>
      <c r="D133" s="5" t="s">
        <v>1577</v>
      </c>
      <c r="E133" s="5" t="s">
        <v>1544</v>
      </c>
      <c r="F133" s="5" t="s">
        <v>1616</v>
      </c>
    </row>
    <row r="134" spans="1:6" x14ac:dyDescent="0.25">
      <c r="A134" s="5" t="s">
        <v>940</v>
      </c>
      <c r="B134" s="5" t="s">
        <v>5</v>
      </c>
      <c r="C134" s="8">
        <v>370</v>
      </c>
      <c r="D134" s="5" t="s">
        <v>1577</v>
      </c>
      <c r="E134" s="5" t="s">
        <v>1544</v>
      </c>
      <c r="F134" s="5" t="s">
        <v>1617</v>
      </c>
    </row>
    <row r="135" spans="1:6" x14ac:dyDescent="0.25">
      <c r="A135" s="5" t="s">
        <v>920</v>
      </c>
      <c r="B135" s="5" t="s">
        <v>5</v>
      </c>
      <c r="C135" s="8">
        <v>355.82</v>
      </c>
      <c r="D135" s="5" t="s">
        <v>1577</v>
      </c>
      <c r="E135" s="5" t="s">
        <v>1544</v>
      </c>
      <c r="F135" s="5" t="s">
        <v>1613</v>
      </c>
    </row>
    <row r="136" spans="1:6" x14ac:dyDescent="0.25">
      <c r="A136" s="5" t="s">
        <v>942</v>
      </c>
      <c r="B136" s="5" t="s">
        <v>5</v>
      </c>
      <c r="C136" s="8">
        <v>335.96</v>
      </c>
      <c r="D136" s="5" t="s">
        <v>1577</v>
      </c>
      <c r="E136" s="5" t="s">
        <v>1544</v>
      </c>
      <c r="F136" s="5" t="s">
        <v>1618</v>
      </c>
    </row>
    <row r="137" spans="1:6" x14ac:dyDescent="0.25">
      <c r="A137" s="5" t="s">
        <v>944</v>
      </c>
      <c r="B137" s="5" t="s">
        <v>5</v>
      </c>
      <c r="C137" s="8">
        <v>328.4</v>
      </c>
      <c r="D137" s="5" t="s">
        <v>1619</v>
      </c>
      <c r="E137" s="5" t="s">
        <v>1620</v>
      </c>
      <c r="F137" s="5" t="s">
        <v>1621</v>
      </c>
    </row>
    <row r="138" spans="1:6" x14ac:dyDescent="0.25">
      <c r="A138" s="5" t="s">
        <v>946</v>
      </c>
      <c r="B138" s="5" t="s">
        <v>5</v>
      </c>
      <c r="C138" s="8">
        <v>321.17</v>
      </c>
      <c r="D138" s="5" t="s">
        <v>1577</v>
      </c>
      <c r="E138" s="5" t="s">
        <v>1544</v>
      </c>
      <c r="F138" s="5" t="s">
        <v>1622</v>
      </c>
    </row>
    <row r="139" spans="1:6" x14ac:dyDescent="0.25">
      <c r="A139" s="5" t="s">
        <v>846</v>
      </c>
      <c r="B139" s="5" t="s">
        <v>5</v>
      </c>
      <c r="C139" s="8">
        <v>320</v>
      </c>
      <c r="D139" s="5" t="s">
        <v>1587</v>
      </c>
      <c r="E139" s="5" t="s">
        <v>1623</v>
      </c>
      <c r="F139" s="5" t="s">
        <v>1624</v>
      </c>
    </row>
    <row r="140" spans="1:6" x14ac:dyDescent="0.25">
      <c r="A140" s="5" t="s">
        <v>948</v>
      </c>
      <c r="B140" s="5" t="s">
        <v>5</v>
      </c>
      <c r="C140" s="8">
        <v>317.91</v>
      </c>
      <c r="D140" s="5" t="s">
        <v>1424</v>
      </c>
      <c r="E140" s="5" t="s">
        <v>1625</v>
      </c>
      <c r="F140" s="5" t="s">
        <v>1585</v>
      </c>
    </row>
    <row r="141" spans="1:6" x14ac:dyDescent="0.25">
      <c r="A141" s="5" t="s">
        <v>626</v>
      </c>
      <c r="B141" s="5" t="s">
        <v>5</v>
      </c>
      <c r="C141" s="8">
        <v>286.6</v>
      </c>
      <c r="D141" s="5" t="s">
        <v>1577</v>
      </c>
      <c r="E141" s="5" t="s">
        <v>1544</v>
      </c>
      <c r="F141" s="5" t="s">
        <v>1603</v>
      </c>
    </row>
    <row r="142" spans="1:6" x14ac:dyDescent="0.25">
      <c r="A142" s="5" t="s">
        <v>901</v>
      </c>
      <c r="B142" s="5" t="s">
        <v>5</v>
      </c>
      <c r="C142" s="8">
        <v>286.6</v>
      </c>
      <c r="D142" s="5" t="s">
        <v>1577</v>
      </c>
      <c r="E142" s="5" t="s">
        <v>1544</v>
      </c>
      <c r="F142" s="5" t="s">
        <v>1626</v>
      </c>
    </row>
    <row r="143" spans="1:6" x14ac:dyDescent="0.25">
      <c r="A143" s="5" t="s">
        <v>901</v>
      </c>
      <c r="B143" s="5" t="s">
        <v>5</v>
      </c>
      <c r="C143" s="8">
        <v>286.6</v>
      </c>
      <c r="D143" s="5" t="s">
        <v>1577</v>
      </c>
      <c r="E143" s="5" t="s">
        <v>1544</v>
      </c>
      <c r="F143" s="5" t="s">
        <v>1627</v>
      </c>
    </row>
    <row r="144" spans="1:6" x14ac:dyDescent="0.25">
      <c r="A144" s="5" t="s">
        <v>901</v>
      </c>
      <c r="B144" s="5" t="s">
        <v>5</v>
      </c>
      <c r="C144" s="8">
        <v>286.6</v>
      </c>
      <c r="D144" s="5" t="s">
        <v>1577</v>
      </c>
      <c r="E144" s="5" t="s">
        <v>1544</v>
      </c>
      <c r="F144" s="5" t="s">
        <v>1628</v>
      </c>
    </row>
    <row r="145" spans="1:6" x14ac:dyDescent="0.25">
      <c r="A145" s="5" t="s">
        <v>901</v>
      </c>
      <c r="B145" s="5" t="s">
        <v>5</v>
      </c>
      <c r="C145" s="8">
        <v>286.6</v>
      </c>
      <c r="D145" s="5" t="s">
        <v>1577</v>
      </c>
      <c r="E145" s="5" t="s">
        <v>1544</v>
      </c>
      <c r="F145" s="5" t="s">
        <v>1629</v>
      </c>
    </row>
    <row r="146" spans="1:6" x14ac:dyDescent="0.25">
      <c r="A146" s="5" t="s">
        <v>901</v>
      </c>
      <c r="B146" s="5" t="s">
        <v>5</v>
      </c>
      <c r="C146" s="8">
        <v>286.6</v>
      </c>
      <c r="D146" s="5" t="s">
        <v>1577</v>
      </c>
      <c r="E146" s="5" t="s">
        <v>1544</v>
      </c>
      <c r="F146" s="5" t="s">
        <v>1630</v>
      </c>
    </row>
    <row r="147" spans="1:6" x14ac:dyDescent="0.25">
      <c r="A147" s="5" t="s">
        <v>901</v>
      </c>
      <c r="B147" s="5" t="s">
        <v>5</v>
      </c>
      <c r="C147" s="8">
        <v>286.6</v>
      </c>
      <c r="D147" s="5" t="s">
        <v>1577</v>
      </c>
      <c r="E147" s="5" t="s">
        <v>1544</v>
      </c>
      <c r="F147" s="5" t="s">
        <v>1631</v>
      </c>
    </row>
    <row r="148" spans="1:6" x14ac:dyDescent="0.25">
      <c r="A148" s="5" t="s">
        <v>953</v>
      </c>
      <c r="B148" s="5" t="s">
        <v>5</v>
      </c>
      <c r="C148" s="8">
        <v>286.6</v>
      </c>
      <c r="D148" s="5" t="s">
        <v>1577</v>
      </c>
      <c r="E148" s="5" t="s">
        <v>1544</v>
      </c>
      <c r="F148" s="5" t="s">
        <v>1632</v>
      </c>
    </row>
    <row r="149" spans="1:6" x14ac:dyDescent="0.25">
      <c r="A149" s="5" t="s">
        <v>924</v>
      </c>
      <c r="B149" s="5" t="s">
        <v>5</v>
      </c>
      <c r="C149" s="8">
        <v>273.73</v>
      </c>
      <c r="D149" s="5" t="s">
        <v>1577</v>
      </c>
      <c r="E149" s="5" t="s">
        <v>1544</v>
      </c>
      <c r="F149" s="5" t="s">
        <v>1633</v>
      </c>
    </row>
    <row r="150" spans="1:6" x14ac:dyDescent="0.25">
      <c r="A150" s="5" t="s">
        <v>924</v>
      </c>
      <c r="B150" s="5" t="s">
        <v>5</v>
      </c>
      <c r="C150" s="8">
        <v>273.73</v>
      </c>
      <c r="D150" s="5" t="s">
        <v>1577</v>
      </c>
      <c r="E150" s="5" t="s">
        <v>1544</v>
      </c>
      <c r="F150" s="5" t="s">
        <v>1634</v>
      </c>
    </row>
    <row r="151" spans="1:6" x14ac:dyDescent="0.25">
      <c r="A151" s="5" t="s">
        <v>924</v>
      </c>
      <c r="B151" s="5" t="s">
        <v>5</v>
      </c>
      <c r="C151" s="8">
        <v>273.73</v>
      </c>
      <c r="D151" s="5" t="s">
        <v>1577</v>
      </c>
      <c r="E151" s="5" t="s">
        <v>1544</v>
      </c>
      <c r="F151" s="5" t="s">
        <v>1635</v>
      </c>
    </row>
    <row r="152" spans="1:6" x14ac:dyDescent="0.25">
      <c r="A152" s="5" t="s">
        <v>956</v>
      </c>
      <c r="B152" s="5" t="s">
        <v>5</v>
      </c>
      <c r="C152" s="8">
        <v>268.7</v>
      </c>
      <c r="D152" s="5" t="s">
        <v>1619</v>
      </c>
      <c r="E152" s="5" t="s">
        <v>1620</v>
      </c>
      <c r="F152" s="5" t="s">
        <v>1598</v>
      </c>
    </row>
    <row r="153" spans="1:6" x14ac:dyDescent="0.25">
      <c r="A153" s="5" t="s">
        <v>958</v>
      </c>
      <c r="B153" s="5" t="s">
        <v>5</v>
      </c>
      <c r="C153" s="8">
        <v>265</v>
      </c>
      <c r="D153" s="5" t="s">
        <v>1396</v>
      </c>
      <c r="E153" s="5" t="s">
        <v>1447</v>
      </c>
      <c r="F153" s="5" t="s">
        <v>1636</v>
      </c>
    </row>
    <row r="154" spans="1:6" x14ac:dyDescent="0.25">
      <c r="A154" s="5" t="s">
        <v>962</v>
      </c>
      <c r="B154" s="5" t="s">
        <v>5</v>
      </c>
      <c r="C154" s="8">
        <v>237</v>
      </c>
      <c r="D154" s="5" t="s">
        <v>1577</v>
      </c>
      <c r="E154" s="5" t="s">
        <v>1544</v>
      </c>
      <c r="F154" s="5" t="s">
        <v>1637</v>
      </c>
    </row>
    <row r="155" spans="1:6" x14ac:dyDescent="0.25">
      <c r="A155" s="5" t="s">
        <v>964</v>
      </c>
      <c r="B155" s="5" t="s">
        <v>5</v>
      </c>
      <c r="C155" s="8">
        <v>232.39</v>
      </c>
      <c r="D155" s="5" t="s">
        <v>1577</v>
      </c>
      <c r="E155" s="5" t="s">
        <v>1544</v>
      </c>
      <c r="F155" s="5" t="s">
        <v>1638</v>
      </c>
    </row>
    <row r="156" spans="1:6" x14ac:dyDescent="0.25">
      <c r="A156" s="5" t="s">
        <v>966</v>
      </c>
      <c r="B156" s="5" t="s">
        <v>5</v>
      </c>
      <c r="C156" s="8">
        <v>220.87</v>
      </c>
      <c r="D156" s="5" t="s">
        <v>1577</v>
      </c>
      <c r="E156" s="5" t="s">
        <v>1544</v>
      </c>
      <c r="F156" s="5" t="s">
        <v>1639</v>
      </c>
    </row>
    <row r="157" spans="1:6" x14ac:dyDescent="0.25">
      <c r="A157" s="5" t="s">
        <v>968</v>
      </c>
      <c r="B157" s="5" t="s">
        <v>5</v>
      </c>
      <c r="C157" s="8">
        <v>200</v>
      </c>
      <c r="D157" s="5" t="s">
        <v>1577</v>
      </c>
      <c r="E157" s="5" t="s">
        <v>1544</v>
      </c>
      <c r="F157" s="5" t="s">
        <v>1640</v>
      </c>
    </row>
    <row r="158" spans="1:6" x14ac:dyDescent="0.25">
      <c r="A158" s="5" t="s">
        <v>951</v>
      </c>
      <c r="B158" s="5" t="s">
        <v>5</v>
      </c>
      <c r="C158" s="8">
        <v>189.1</v>
      </c>
      <c r="D158" s="5" t="s">
        <v>1577</v>
      </c>
      <c r="E158" s="5" t="s">
        <v>1544</v>
      </c>
      <c r="F158" s="5" t="s">
        <v>1641</v>
      </c>
    </row>
    <row r="159" spans="1:6" x14ac:dyDescent="0.25">
      <c r="A159" s="5" t="s">
        <v>970</v>
      </c>
      <c r="B159" s="5" t="s">
        <v>5</v>
      </c>
      <c r="C159" s="8">
        <v>185.32</v>
      </c>
      <c r="D159" s="5" t="s">
        <v>1577</v>
      </c>
      <c r="E159" s="5" t="s">
        <v>1544</v>
      </c>
      <c r="F159" s="5" t="s">
        <v>1642</v>
      </c>
    </row>
    <row r="160" spans="1:6" x14ac:dyDescent="0.25">
      <c r="A160" s="5" t="s">
        <v>972</v>
      </c>
      <c r="B160" s="5" t="s">
        <v>5</v>
      </c>
      <c r="C160" s="8">
        <v>179.69</v>
      </c>
      <c r="D160" s="5" t="s">
        <v>1577</v>
      </c>
      <c r="E160" s="5" t="s">
        <v>1544</v>
      </c>
      <c r="F160" s="5" t="s">
        <v>1643</v>
      </c>
    </row>
    <row r="161" spans="1:6" x14ac:dyDescent="0.25">
      <c r="A161" s="5" t="s">
        <v>626</v>
      </c>
      <c r="B161" s="5" t="s">
        <v>5</v>
      </c>
      <c r="C161" s="8">
        <v>176.16</v>
      </c>
      <c r="D161" s="5" t="s">
        <v>1577</v>
      </c>
      <c r="E161" s="5" t="s">
        <v>1544</v>
      </c>
      <c r="F161" s="5" t="s">
        <v>1644</v>
      </c>
    </row>
    <row r="162" spans="1:6" x14ac:dyDescent="0.25">
      <c r="A162" s="5" t="s">
        <v>976</v>
      </c>
      <c r="B162" s="5" t="s">
        <v>5</v>
      </c>
      <c r="C162" s="8">
        <v>162.67</v>
      </c>
      <c r="D162" s="5" t="s">
        <v>1577</v>
      </c>
      <c r="E162" s="5" t="s">
        <v>1544</v>
      </c>
      <c r="F162" s="5" t="s">
        <v>1645</v>
      </c>
    </row>
    <row r="163" spans="1:6" x14ac:dyDescent="0.25">
      <c r="A163" s="5" t="s">
        <v>978</v>
      </c>
      <c r="B163" s="5" t="s">
        <v>5</v>
      </c>
      <c r="C163" s="8">
        <v>155.36</v>
      </c>
      <c r="D163" s="5" t="s">
        <v>1577</v>
      </c>
      <c r="E163" s="5" t="s">
        <v>1544</v>
      </c>
      <c r="F163" s="5" t="s">
        <v>1646</v>
      </c>
    </row>
    <row r="164" spans="1:6" x14ac:dyDescent="0.25">
      <c r="A164" s="5" t="s">
        <v>565</v>
      </c>
      <c r="B164" s="5" t="s">
        <v>5</v>
      </c>
      <c r="C164" s="8">
        <v>155.16</v>
      </c>
      <c r="D164" s="5" t="s">
        <v>1419</v>
      </c>
      <c r="E164" s="5" t="s">
        <v>1647</v>
      </c>
      <c r="F164" s="5" t="s">
        <v>1585</v>
      </c>
    </row>
    <row r="165" spans="1:6" x14ac:dyDescent="0.25">
      <c r="A165" s="5" t="s">
        <v>980</v>
      </c>
      <c r="B165" s="5" t="s">
        <v>5</v>
      </c>
      <c r="C165" s="8">
        <v>150</v>
      </c>
      <c r="D165" s="5" t="s">
        <v>1577</v>
      </c>
      <c r="E165" s="5" t="s">
        <v>1544</v>
      </c>
      <c r="F165" s="5" t="s">
        <v>1648</v>
      </c>
    </row>
    <row r="166" spans="1:6" x14ac:dyDescent="0.25">
      <c r="A166" s="5" t="s">
        <v>605</v>
      </c>
      <c r="B166" s="5" t="s">
        <v>5</v>
      </c>
      <c r="C166" s="8">
        <v>131.03</v>
      </c>
      <c r="D166" s="5" t="s">
        <v>1424</v>
      </c>
      <c r="E166" s="5" t="s">
        <v>1649</v>
      </c>
      <c r="F166" s="5" t="s">
        <v>1621</v>
      </c>
    </row>
    <row r="167" spans="1:6" x14ac:dyDescent="0.25">
      <c r="A167" s="5" t="s">
        <v>646</v>
      </c>
      <c r="B167" s="5" t="s">
        <v>5</v>
      </c>
      <c r="C167" s="8">
        <v>119.98</v>
      </c>
      <c r="D167" s="5" t="s">
        <v>1577</v>
      </c>
      <c r="E167" s="5" t="s">
        <v>1544</v>
      </c>
      <c r="F167" s="5" t="s">
        <v>1609</v>
      </c>
    </row>
    <row r="168" spans="1:6" x14ac:dyDescent="0.25">
      <c r="A168" s="5" t="s">
        <v>961</v>
      </c>
      <c r="B168" s="5" t="s">
        <v>5</v>
      </c>
      <c r="C168" s="8">
        <v>119.14</v>
      </c>
      <c r="D168" s="5" t="s">
        <v>1424</v>
      </c>
      <c r="E168" s="5" t="s">
        <v>961</v>
      </c>
      <c r="F168" s="5" t="s">
        <v>1585</v>
      </c>
    </row>
    <row r="169" spans="1:6" x14ac:dyDescent="0.25">
      <c r="A169" s="5" t="s">
        <v>961</v>
      </c>
      <c r="B169" s="5" t="s">
        <v>5</v>
      </c>
      <c r="C169" s="8">
        <v>119.14</v>
      </c>
      <c r="D169" s="5" t="s">
        <v>1424</v>
      </c>
      <c r="E169" s="5" t="s">
        <v>961</v>
      </c>
      <c r="F169" s="5" t="s">
        <v>1585</v>
      </c>
    </row>
    <row r="170" spans="1:6" x14ac:dyDescent="0.25">
      <c r="A170" s="5" t="s">
        <v>983</v>
      </c>
      <c r="B170" s="5" t="s">
        <v>5</v>
      </c>
      <c r="C170" s="8">
        <v>114.73</v>
      </c>
      <c r="D170" s="5" t="s">
        <v>1419</v>
      </c>
      <c r="E170" s="5" t="s">
        <v>800</v>
      </c>
      <c r="F170" s="5" t="s">
        <v>1650</v>
      </c>
    </row>
    <row r="171" spans="1:6" x14ac:dyDescent="0.25">
      <c r="A171" s="5" t="s">
        <v>951</v>
      </c>
      <c r="B171" s="5" t="s">
        <v>5</v>
      </c>
      <c r="C171" s="8">
        <v>109.51</v>
      </c>
      <c r="D171" s="5" t="s">
        <v>1577</v>
      </c>
      <c r="E171" s="5" t="s">
        <v>1544</v>
      </c>
      <c r="F171" s="5" t="s">
        <v>1651</v>
      </c>
    </row>
    <row r="172" spans="1:6" x14ac:dyDescent="0.25">
      <c r="A172" s="5" t="s">
        <v>646</v>
      </c>
      <c r="B172" s="5" t="s">
        <v>5</v>
      </c>
      <c r="C172" s="8">
        <v>99.87</v>
      </c>
      <c r="D172" s="5" t="s">
        <v>1577</v>
      </c>
      <c r="E172" s="5" t="s">
        <v>1544</v>
      </c>
      <c r="F172" s="5" t="s">
        <v>1609</v>
      </c>
    </row>
    <row r="173" spans="1:6" x14ac:dyDescent="0.25">
      <c r="A173" s="5" t="s">
        <v>986</v>
      </c>
      <c r="B173" s="5" t="s">
        <v>5</v>
      </c>
      <c r="C173" s="8">
        <v>98.55</v>
      </c>
      <c r="D173" s="5" t="s">
        <v>1429</v>
      </c>
      <c r="E173" s="5" t="s">
        <v>1584</v>
      </c>
      <c r="F173" s="5" t="s">
        <v>1652</v>
      </c>
    </row>
    <row r="174" spans="1:6" x14ac:dyDescent="0.25">
      <c r="A174" s="5" t="s">
        <v>974</v>
      </c>
      <c r="B174" s="5" t="s">
        <v>5</v>
      </c>
      <c r="C174" s="8">
        <v>97</v>
      </c>
      <c r="D174" s="5" t="s">
        <v>1577</v>
      </c>
      <c r="E174" s="5" t="s">
        <v>1544</v>
      </c>
      <c r="F174" s="5" t="s">
        <v>1653</v>
      </c>
    </row>
    <row r="175" spans="1:6" x14ac:dyDescent="0.25">
      <c r="A175" s="5" t="s">
        <v>988</v>
      </c>
      <c r="B175" s="5" t="s">
        <v>5</v>
      </c>
      <c r="C175" s="8">
        <v>93.81</v>
      </c>
      <c r="D175" s="5" t="s">
        <v>1429</v>
      </c>
      <c r="E175" s="5" t="s">
        <v>1584</v>
      </c>
      <c r="F175" s="5" t="s">
        <v>1621</v>
      </c>
    </row>
    <row r="176" spans="1:6" x14ac:dyDescent="0.25">
      <c r="A176" s="5" t="s">
        <v>954</v>
      </c>
      <c r="B176" s="5" t="s">
        <v>5</v>
      </c>
      <c r="C176" s="8">
        <v>90</v>
      </c>
      <c r="D176" s="5" t="s">
        <v>1577</v>
      </c>
      <c r="E176" s="5" t="s">
        <v>1544</v>
      </c>
      <c r="F176" s="5" t="s">
        <v>1654</v>
      </c>
    </row>
    <row r="177" spans="1:6" x14ac:dyDescent="0.25">
      <c r="A177" s="5" t="s">
        <v>992</v>
      </c>
      <c r="B177" s="5" t="s">
        <v>5</v>
      </c>
      <c r="C177" s="8">
        <v>88.3</v>
      </c>
      <c r="D177" s="5" t="s">
        <v>1577</v>
      </c>
      <c r="E177" s="5" t="s">
        <v>1544</v>
      </c>
      <c r="F177" s="5" t="s">
        <v>1655</v>
      </c>
    </row>
    <row r="178" spans="1:6" x14ac:dyDescent="0.25">
      <c r="A178" s="5" t="s">
        <v>994</v>
      </c>
      <c r="B178" s="5" t="s">
        <v>5</v>
      </c>
      <c r="C178" s="8">
        <v>88.3</v>
      </c>
      <c r="D178" s="5" t="s">
        <v>1577</v>
      </c>
      <c r="E178" s="5" t="s">
        <v>1544</v>
      </c>
      <c r="F178" s="5" t="s">
        <v>1656</v>
      </c>
    </row>
    <row r="179" spans="1:6" x14ac:dyDescent="0.25">
      <c r="A179" s="5" t="s">
        <v>995</v>
      </c>
      <c r="B179" s="5" t="s">
        <v>5</v>
      </c>
      <c r="C179" s="8">
        <v>84</v>
      </c>
      <c r="D179" s="5" t="s">
        <v>1577</v>
      </c>
      <c r="E179" s="5" t="s">
        <v>1544</v>
      </c>
      <c r="F179" s="5" t="s">
        <v>1657</v>
      </c>
    </row>
    <row r="180" spans="1:6" x14ac:dyDescent="0.25">
      <c r="A180" s="5" t="s">
        <v>646</v>
      </c>
      <c r="B180" s="5" t="s">
        <v>5</v>
      </c>
      <c r="C180" s="8">
        <v>82.61</v>
      </c>
      <c r="D180" s="5" t="s">
        <v>1577</v>
      </c>
      <c r="E180" s="5" t="s">
        <v>1544</v>
      </c>
      <c r="F180" s="5" t="s">
        <v>1609</v>
      </c>
    </row>
    <row r="181" spans="1:6" x14ac:dyDescent="0.25">
      <c r="A181" s="5" t="s">
        <v>997</v>
      </c>
      <c r="B181" s="5" t="s">
        <v>5</v>
      </c>
      <c r="C181" s="8">
        <v>75.86</v>
      </c>
      <c r="D181" s="5" t="s">
        <v>1577</v>
      </c>
      <c r="E181" s="5" t="s">
        <v>1544</v>
      </c>
      <c r="F181" s="5" t="s">
        <v>1658</v>
      </c>
    </row>
    <row r="182" spans="1:6" x14ac:dyDescent="0.25">
      <c r="A182" s="5" t="s">
        <v>999</v>
      </c>
      <c r="B182" s="5" t="s">
        <v>5</v>
      </c>
      <c r="C182" s="8">
        <v>72.96</v>
      </c>
      <c r="D182" s="5" t="s">
        <v>1577</v>
      </c>
      <c r="E182" s="5" t="s">
        <v>1544</v>
      </c>
      <c r="F182" s="5" t="s">
        <v>1659</v>
      </c>
    </row>
    <row r="183" spans="1:6" x14ac:dyDescent="0.25">
      <c r="A183" s="5" t="s">
        <v>646</v>
      </c>
      <c r="B183" s="5" t="s">
        <v>5</v>
      </c>
      <c r="C183" s="8">
        <v>71.01</v>
      </c>
      <c r="D183" s="5" t="s">
        <v>1577</v>
      </c>
      <c r="E183" s="5" t="s">
        <v>1544</v>
      </c>
      <c r="F183" s="5" t="s">
        <v>1660</v>
      </c>
    </row>
    <row r="184" spans="1:6" x14ac:dyDescent="0.25">
      <c r="A184" s="5" t="s">
        <v>646</v>
      </c>
      <c r="B184" s="5" t="s">
        <v>5</v>
      </c>
      <c r="C184" s="8">
        <v>71.01</v>
      </c>
      <c r="D184" s="5" t="s">
        <v>1577</v>
      </c>
      <c r="E184" s="5" t="s">
        <v>1544</v>
      </c>
      <c r="F184" s="5" t="s">
        <v>1609</v>
      </c>
    </row>
    <row r="185" spans="1:6" x14ac:dyDescent="0.25">
      <c r="A185" s="5" t="s">
        <v>954</v>
      </c>
      <c r="B185" s="5" t="s">
        <v>5</v>
      </c>
      <c r="C185" s="8">
        <v>65</v>
      </c>
      <c r="D185" s="5" t="s">
        <v>1577</v>
      </c>
      <c r="E185" s="5" t="s">
        <v>1544</v>
      </c>
      <c r="F185" s="5" t="s">
        <v>1654</v>
      </c>
    </row>
    <row r="186" spans="1:6" x14ac:dyDescent="0.25">
      <c r="A186" s="5" t="s">
        <v>1003</v>
      </c>
      <c r="B186" s="5" t="s">
        <v>5</v>
      </c>
      <c r="C186" s="8">
        <v>64.76</v>
      </c>
      <c r="D186" s="5" t="s">
        <v>1577</v>
      </c>
      <c r="E186" s="5" t="s">
        <v>1544</v>
      </c>
      <c r="F186" s="5" t="s">
        <v>1661</v>
      </c>
    </row>
    <row r="187" spans="1:6" x14ac:dyDescent="0.25">
      <c r="A187" s="5" t="s">
        <v>990</v>
      </c>
      <c r="B187" s="5" t="s">
        <v>5</v>
      </c>
      <c r="C187" s="8">
        <v>60</v>
      </c>
      <c r="D187" s="5" t="s">
        <v>1424</v>
      </c>
      <c r="E187" s="5" t="s">
        <v>1662</v>
      </c>
      <c r="F187" s="5" t="s">
        <v>1585</v>
      </c>
    </row>
    <row r="188" spans="1:6" x14ac:dyDescent="0.25">
      <c r="A188" s="5" t="s">
        <v>1006</v>
      </c>
      <c r="B188" s="5" t="s">
        <v>5</v>
      </c>
      <c r="C188" s="8">
        <v>60</v>
      </c>
      <c r="D188" s="5" t="s">
        <v>1577</v>
      </c>
      <c r="E188" s="5" t="s">
        <v>1544</v>
      </c>
      <c r="F188" s="5" t="s">
        <v>1663</v>
      </c>
    </row>
    <row r="189" spans="1:6" x14ac:dyDescent="0.25">
      <c r="A189" s="5" t="s">
        <v>1008</v>
      </c>
      <c r="B189" s="5" t="s">
        <v>5</v>
      </c>
      <c r="C189" s="8">
        <v>59.9</v>
      </c>
      <c r="D189" s="5" t="s">
        <v>1577</v>
      </c>
      <c r="E189" s="5" t="s">
        <v>1544</v>
      </c>
      <c r="F189" s="5" t="s">
        <v>1664</v>
      </c>
    </row>
    <row r="190" spans="1:6" x14ac:dyDescent="0.25">
      <c r="A190" s="5" t="s">
        <v>626</v>
      </c>
      <c r="B190" s="5" t="s">
        <v>5</v>
      </c>
      <c r="C190" s="8">
        <v>56.01</v>
      </c>
      <c r="D190" s="5" t="s">
        <v>1577</v>
      </c>
      <c r="E190" s="5" t="s">
        <v>1544</v>
      </c>
      <c r="F190" s="5" t="s">
        <v>1665</v>
      </c>
    </row>
    <row r="191" spans="1:6" x14ac:dyDescent="0.25">
      <c r="A191" s="5" t="s">
        <v>626</v>
      </c>
      <c r="B191" s="5" t="s">
        <v>5</v>
      </c>
      <c r="C191" s="8">
        <v>54.28</v>
      </c>
      <c r="D191" s="5" t="s">
        <v>1577</v>
      </c>
      <c r="E191" s="5" t="s">
        <v>1544</v>
      </c>
      <c r="F191" s="5" t="s">
        <v>1665</v>
      </c>
    </row>
    <row r="192" spans="1:6" x14ac:dyDescent="0.25">
      <c r="A192" s="5" t="s">
        <v>626</v>
      </c>
      <c r="B192" s="5" t="s">
        <v>5</v>
      </c>
      <c r="C192" s="8">
        <v>54.28</v>
      </c>
      <c r="D192" s="5" t="s">
        <v>1577</v>
      </c>
      <c r="E192" s="5" t="s">
        <v>1544</v>
      </c>
      <c r="F192" s="5" t="s">
        <v>1666</v>
      </c>
    </row>
    <row r="193" spans="1:6" x14ac:dyDescent="0.25">
      <c r="A193" s="5" t="s">
        <v>1009</v>
      </c>
      <c r="B193" s="5" t="s">
        <v>5</v>
      </c>
      <c r="C193" s="8">
        <v>53.97</v>
      </c>
      <c r="D193" s="5" t="s">
        <v>1419</v>
      </c>
      <c r="E193" s="5" t="s">
        <v>543</v>
      </c>
      <c r="F193" s="5" t="s">
        <v>1585</v>
      </c>
    </row>
    <row r="194" spans="1:6" x14ac:dyDescent="0.25">
      <c r="A194" s="5" t="s">
        <v>646</v>
      </c>
      <c r="B194" s="5" t="s">
        <v>5</v>
      </c>
      <c r="C194" s="8">
        <v>52.52</v>
      </c>
      <c r="D194" s="5" t="s">
        <v>1577</v>
      </c>
      <c r="E194" s="5" t="s">
        <v>1544</v>
      </c>
      <c r="F194" s="5" t="s">
        <v>1660</v>
      </c>
    </row>
    <row r="195" spans="1:6" x14ac:dyDescent="0.25">
      <c r="A195" s="5" t="s">
        <v>646</v>
      </c>
      <c r="B195" s="5" t="s">
        <v>5</v>
      </c>
      <c r="C195" s="8">
        <v>52.52</v>
      </c>
      <c r="D195" s="5" t="s">
        <v>1577</v>
      </c>
      <c r="E195" s="5" t="s">
        <v>1544</v>
      </c>
      <c r="F195" s="5" t="s">
        <v>1667</v>
      </c>
    </row>
    <row r="196" spans="1:6" x14ac:dyDescent="0.25">
      <c r="A196" s="5" t="s">
        <v>849</v>
      </c>
      <c r="B196" s="5" t="s">
        <v>5</v>
      </c>
      <c r="C196" s="8">
        <v>50</v>
      </c>
      <c r="D196" s="5" t="s">
        <v>1587</v>
      </c>
      <c r="E196" s="5" t="s">
        <v>1668</v>
      </c>
      <c r="F196" s="5" t="s">
        <v>1669</v>
      </c>
    </row>
    <row r="197" spans="1:6" x14ac:dyDescent="0.25">
      <c r="A197" s="5" t="s">
        <v>848</v>
      </c>
      <c r="B197" s="5" t="s">
        <v>5</v>
      </c>
      <c r="C197" s="8">
        <v>50</v>
      </c>
      <c r="D197" s="5" t="s">
        <v>1587</v>
      </c>
      <c r="E197" s="5" t="s">
        <v>1670</v>
      </c>
      <c r="F197" s="5" t="s">
        <v>1671</v>
      </c>
    </row>
    <row r="198" spans="1:6" x14ac:dyDescent="0.25">
      <c r="A198" s="5" t="s">
        <v>848</v>
      </c>
      <c r="B198" s="5" t="s">
        <v>5</v>
      </c>
      <c r="C198" s="8">
        <v>50</v>
      </c>
      <c r="D198" s="5" t="s">
        <v>1587</v>
      </c>
      <c r="E198" s="5" t="s">
        <v>1670</v>
      </c>
      <c r="F198" s="5" t="s">
        <v>1589</v>
      </c>
    </row>
    <row r="199" spans="1:6" x14ac:dyDescent="0.25">
      <c r="A199" s="5" t="s">
        <v>850</v>
      </c>
      <c r="B199" s="5" t="s">
        <v>5</v>
      </c>
      <c r="C199" s="8">
        <v>50</v>
      </c>
      <c r="D199" s="5" t="s">
        <v>1587</v>
      </c>
      <c r="E199" s="5" t="s">
        <v>1544</v>
      </c>
      <c r="F199" s="5" t="s">
        <v>1672</v>
      </c>
    </row>
    <row r="200" spans="1:6" x14ac:dyDescent="0.25">
      <c r="A200" s="5" t="s">
        <v>985</v>
      </c>
      <c r="B200" s="5" t="s">
        <v>5</v>
      </c>
      <c r="C200" s="8">
        <v>50</v>
      </c>
      <c r="D200" s="5" t="s">
        <v>1577</v>
      </c>
      <c r="E200" s="5" t="s">
        <v>1544</v>
      </c>
      <c r="F200" s="5" t="s">
        <v>1673</v>
      </c>
    </row>
    <row r="201" spans="1:6" x14ac:dyDescent="0.25">
      <c r="A201" s="5" t="s">
        <v>985</v>
      </c>
      <c r="B201" s="5" t="s">
        <v>5</v>
      </c>
      <c r="C201" s="8">
        <v>50</v>
      </c>
      <c r="D201" s="5" t="s">
        <v>1577</v>
      </c>
      <c r="E201" s="5" t="s">
        <v>1544</v>
      </c>
      <c r="F201" s="5" t="s">
        <v>1674</v>
      </c>
    </row>
    <row r="202" spans="1:6" x14ac:dyDescent="0.25">
      <c r="A202" s="5" t="s">
        <v>916</v>
      </c>
      <c r="B202" s="5" t="s">
        <v>5</v>
      </c>
      <c r="C202" s="8">
        <v>44.9</v>
      </c>
      <c r="D202" s="5" t="s">
        <v>1396</v>
      </c>
      <c r="E202" s="5" t="s">
        <v>916</v>
      </c>
      <c r="F202" s="5" t="s">
        <v>1675</v>
      </c>
    </row>
    <row r="203" spans="1:6" x14ac:dyDescent="0.25">
      <c r="A203" s="5" t="s">
        <v>1011</v>
      </c>
      <c r="B203" s="5" t="s">
        <v>5</v>
      </c>
      <c r="C203" s="8">
        <v>44.9</v>
      </c>
      <c r="D203" s="5" t="s">
        <v>1396</v>
      </c>
      <c r="E203" s="5" t="s">
        <v>916</v>
      </c>
      <c r="F203" s="5" t="s">
        <v>1676</v>
      </c>
    </row>
    <row r="204" spans="1:6" x14ac:dyDescent="0.25">
      <c r="A204" s="5" t="s">
        <v>1001</v>
      </c>
      <c r="B204" s="5" t="s">
        <v>5</v>
      </c>
      <c r="C204" s="8">
        <v>42</v>
      </c>
      <c r="D204" s="5" t="s">
        <v>1677</v>
      </c>
      <c r="E204" s="5" t="s">
        <v>435</v>
      </c>
      <c r="F204" s="5" t="s">
        <v>1652</v>
      </c>
    </row>
    <row r="205" spans="1:6" x14ac:dyDescent="0.25">
      <c r="A205" s="5" t="s">
        <v>626</v>
      </c>
      <c r="B205" s="5" t="s">
        <v>5</v>
      </c>
      <c r="C205" s="8">
        <v>40.5</v>
      </c>
      <c r="D205" s="5" t="s">
        <v>1577</v>
      </c>
      <c r="E205" s="5" t="s">
        <v>1544</v>
      </c>
      <c r="F205" s="5" t="s">
        <v>1666</v>
      </c>
    </row>
    <row r="206" spans="1:6" x14ac:dyDescent="0.25">
      <c r="A206" s="5" t="s">
        <v>974</v>
      </c>
      <c r="B206" s="5" t="s">
        <v>5</v>
      </c>
      <c r="C206" s="8">
        <v>39.95</v>
      </c>
      <c r="D206" s="5" t="s">
        <v>1577</v>
      </c>
      <c r="E206" s="5" t="s">
        <v>1544</v>
      </c>
      <c r="F206" s="5" t="s">
        <v>1678</v>
      </c>
    </row>
    <row r="207" spans="1:6" x14ac:dyDescent="0.25">
      <c r="A207" s="5" t="s">
        <v>1013</v>
      </c>
      <c r="B207" s="5" t="s">
        <v>5</v>
      </c>
      <c r="C207" s="8">
        <v>38.62</v>
      </c>
      <c r="D207" s="5" t="s">
        <v>1577</v>
      </c>
      <c r="E207" s="5" t="s">
        <v>1544</v>
      </c>
      <c r="F207" s="5" t="s">
        <v>1679</v>
      </c>
    </row>
    <row r="208" spans="1:6" x14ac:dyDescent="0.25">
      <c r="A208" s="5" t="s">
        <v>1015</v>
      </c>
      <c r="B208" s="5" t="s">
        <v>5</v>
      </c>
      <c r="C208" s="8">
        <v>35.82</v>
      </c>
      <c r="D208" s="5" t="s">
        <v>1577</v>
      </c>
      <c r="E208" s="5" t="s">
        <v>1544</v>
      </c>
      <c r="F208" s="5" t="s">
        <v>1680</v>
      </c>
    </row>
    <row r="209" spans="1:6" x14ac:dyDescent="0.25">
      <c r="A209" s="5" t="s">
        <v>954</v>
      </c>
      <c r="B209" s="5" t="s">
        <v>5</v>
      </c>
      <c r="C209" s="8">
        <v>30</v>
      </c>
      <c r="D209" s="5" t="s">
        <v>1577</v>
      </c>
      <c r="E209" s="5" t="s">
        <v>1544</v>
      </c>
      <c r="F209" s="5" t="s">
        <v>1654</v>
      </c>
    </row>
    <row r="210" spans="1:6" x14ac:dyDescent="0.25">
      <c r="A210" s="5" t="s">
        <v>990</v>
      </c>
      <c r="B210" s="5" t="s">
        <v>5</v>
      </c>
      <c r="C210" s="8">
        <v>29</v>
      </c>
      <c r="D210" s="5" t="s">
        <v>1424</v>
      </c>
      <c r="E210" s="5" t="s">
        <v>1662</v>
      </c>
      <c r="F210" s="5" t="s">
        <v>1621</v>
      </c>
    </row>
    <row r="211" spans="1:6" x14ac:dyDescent="0.25">
      <c r="A211" s="5" t="s">
        <v>1001</v>
      </c>
      <c r="B211" s="5" t="s">
        <v>5</v>
      </c>
      <c r="C211" s="8">
        <v>28</v>
      </c>
      <c r="D211" s="5" t="s">
        <v>1677</v>
      </c>
      <c r="E211" s="5" t="s">
        <v>435</v>
      </c>
      <c r="F211" s="5" t="s">
        <v>1650</v>
      </c>
    </row>
    <row r="212" spans="1:6" x14ac:dyDescent="0.25">
      <c r="A212" s="5" t="s">
        <v>1017</v>
      </c>
      <c r="B212" s="5" t="s">
        <v>5</v>
      </c>
      <c r="C212" s="8">
        <v>28</v>
      </c>
      <c r="D212" s="5" t="s">
        <v>1577</v>
      </c>
      <c r="E212" s="5" t="s">
        <v>1544</v>
      </c>
      <c r="F212" s="5" t="s">
        <v>1681</v>
      </c>
    </row>
    <row r="213" spans="1:6" x14ac:dyDescent="0.25">
      <c r="A213" s="5" t="s">
        <v>974</v>
      </c>
      <c r="B213" s="5" t="s">
        <v>5</v>
      </c>
      <c r="C213" s="8">
        <v>19.9</v>
      </c>
      <c r="D213" s="5" t="s">
        <v>1577</v>
      </c>
      <c r="E213" s="5" t="s">
        <v>1544</v>
      </c>
      <c r="F213" s="5" t="s">
        <v>1653</v>
      </c>
    </row>
    <row r="214" spans="1:6" x14ac:dyDescent="0.25">
      <c r="A214" s="5" t="s">
        <v>1019</v>
      </c>
      <c r="B214" s="5" t="s">
        <v>5</v>
      </c>
      <c r="C214" s="8">
        <v>19.9</v>
      </c>
      <c r="D214" s="5" t="s">
        <v>1577</v>
      </c>
      <c r="E214" s="5" t="s">
        <v>1544</v>
      </c>
      <c r="F214" s="5" t="s">
        <v>1682</v>
      </c>
    </row>
    <row r="215" spans="1:6" x14ac:dyDescent="0.25">
      <c r="A215" s="5" t="s">
        <v>873</v>
      </c>
      <c r="B215" s="5" t="s">
        <v>5</v>
      </c>
      <c r="C215" s="8">
        <v>-11447.89</v>
      </c>
      <c r="D215" s="5" t="s">
        <v>1577</v>
      </c>
      <c r="E215" s="5" t="s">
        <v>1544</v>
      </c>
      <c r="F215" s="5" t="s">
        <v>1683</v>
      </c>
    </row>
    <row r="216" spans="1:6" x14ac:dyDescent="0.25">
      <c r="A216" s="5" t="s">
        <v>79</v>
      </c>
      <c r="B216" s="5" t="s">
        <v>6</v>
      </c>
      <c r="C216" s="8">
        <v>11666.67</v>
      </c>
      <c r="D216" s="5" t="s">
        <v>1429</v>
      </c>
      <c r="E216" s="5" t="s">
        <v>1440</v>
      </c>
      <c r="F216" s="5" t="s">
        <v>1684</v>
      </c>
    </row>
    <row r="217" spans="1:6" x14ac:dyDescent="0.25">
      <c r="A217" s="5" t="s">
        <v>282</v>
      </c>
      <c r="B217" s="5" t="s">
        <v>6</v>
      </c>
      <c r="C217" s="8">
        <v>7560</v>
      </c>
      <c r="D217" s="5" t="s">
        <v>1429</v>
      </c>
      <c r="E217" s="5" t="s">
        <v>1685</v>
      </c>
      <c r="F217" s="5" t="s">
        <v>1686</v>
      </c>
    </row>
    <row r="218" spans="1:6" x14ac:dyDescent="0.25">
      <c r="A218" s="5" t="s">
        <v>282</v>
      </c>
      <c r="B218" s="5" t="s">
        <v>6</v>
      </c>
      <c r="C218" s="8">
        <v>7560</v>
      </c>
      <c r="D218" s="5" t="s">
        <v>1429</v>
      </c>
      <c r="E218" s="5" t="s">
        <v>1685</v>
      </c>
      <c r="F218" s="5" t="s">
        <v>1687</v>
      </c>
    </row>
    <row r="219" spans="1:6" x14ac:dyDescent="0.25">
      <c r="A219" s="5" t="s">
        <v>721</v>
      </c>
      <c r="B219" s="5" t="s">
        <v>6</v>
      </c>
      <c r="C219" s="8">
        <v>7500</v>
      </c>
      <c r="D219" s="5" t="s">
        <v>1396</v>
      </c>
      <c r="E219" s="5" t="s">
        <v>857</v>
      </c>
      <c r="F219" s="5" t="s">
        <v>1688</v>
      </c>
    </row>
    <row r="220" spans="1:6" x14ac:dyDescent="0.25">
      <c r="A220" s="5" t="s">
        <v>716</v>
      </c>
      <c r="B220" s="5" t="s">
        <v>6</v>
      </c>
      <c r="C220" s="8">
        <v>6835</v>
      </c>
      <c r="D220" s="5" t="s">
        <v>1396</v>
      </c>
      <c r="E220" s="5" t="s">
        <v>1509</v>
      </c>
      <c r="F220" s="5" t="s">
        <v>1689</v>
      </c>
    </row>
    <row r="221" spans="1:6" x14ac:dyDescent="0.25">
      <c r="A221" s="5" t="s">
        <v>140</v>
      </c>
      <c r="B221" s="5" t="s">
        <v>8</v>
      </c>
      <c r="C221" s="8">
        <v>7307</v>
      </c>
      <c r="D221" s="5" t="s">
        <v>1429</v>
      </c>
      <c r="E221" s="5" t="s">
        <v>1458</v>
      </c>
      <c r="F221" s="5" t="s">
        <v>1690</v>
      </c>
    </row>
    <row r="222" spans="1:6" x14ac:dyDescent="0.25">
      <c r="A222" s="5" t="s">
        <v>1268</v>
      </c>
      <c r="B222" s="5" t="s">
        <v>8</v>
      </c>
      <c r="C222" s="8">
        <v>7000</v>
      </c>
      <c r="D222" s="5" t="s">
        <v>1396</v>
      </c>
      <c r="E222" s="5" t="s">
        <v>1466</v>
      </c>
      <c r="F222" s="5" t="s">
        <v>1691</v>
      </c>
    </row>
    <row r="223" spans="1:6" x14ac:dyDescent="0.25">
      <c r="A223" s="5" t="s">
        <v>720</v>
      </c>
      <c r="B223" s="5" t="s">
        <v>8</v>
      </c>
      <c r="C223" s="8">
        <v>6666.67</v>
      </c>
      <c r="D223" s="5" t="s">
        <v>1429</v>
      </c>
      <c r="E223" s="5" t="s">
        <v>1692</v>
      </c>
      <c r="F223" s="5" t="s">
        <v>1693</v>
      </c>
    </row>
    <row r="224" spans="1:6" x14ac:dyDescent="0.25">
      <c r="A224" s="5" t="s">
        <v>670</v>
      </c>
      <c r="B224" s="5" t="s">
        <v>8</v>
      </c>
      <c r="C224" s="8">
        <v>4780</v>
      </c>
      <c r="D224" s="5" t="s">
        <v>1694</v>
      </c>
      <c r="E224" s="5" t="s">
        <v>1695</v>
      </c>
      <c r="F224" s="5" t="s">
        <v>1696</v>
      </c>
    </row>
    <row r="225" spans="1:6" x14ac:dyDescent="0.25">
      <c r="A225" s="5" t="s">
        <v>729</v>
      </c>
      <c r="B225" s="5" t="s">
        <v>8</v>
      </c>
      <c r="C225" s="8">
        <v>3000</v>
      </c>
      <c r="D225" s="5" t="s">
        <v>1396</v>
      </c>
      <c r="E225" s="5" t="s">
        <v>1517</v>
      </c>
      <c r="F225" s="5" t="s">
        <v>1697</v>
      </c>
    </row>
    <row r="226" spans="1:6" x14ac:dyDescent="0.25">
      <c r="A226" s="5" t="s">
        <v>273</v>
      </c>
      <c r="B226" s="5" t="s">
        <v>8</v>
      </c>
      <c r="C226" s="8">
        <v>-117.23</v>
      </c>
      <c r="D226" s="5" t="s">
        <v>1396</v>
      </c>
      <c r="E226" s="5" t="s">
        <v>1698</v>
      </c>
      <c r="F226" s="5" t="s">
        <v>1699</v>
      </c>
    </row>
    <row r="227" spans="1:6" x14ac:dyDescent="0.25">
      <c r="A227" s="5" t="s">
        <v>273</v>
      </c>
      <c r="B227" s="5" t="s">
        <v>8</v>
      </c>
      <c r="C227" s="8">
        <v>-118.66</v>
      </c>
      <c r="D227" s="5" t="s">
        <v>1396</v>
      </c>
      <c r="E227" s="5" t="s">
        <v>1698</v>
      </c>
      <c r="F227" s="5" t="s">
        <v>1699</v>
      </c>
    </row>
    <row r="228" spans="1:6" x14ac:dyDescent="0.25">
      <c r="A228" s="5" t="s">
        <v>1219</v>
      </c>
      <c r="B228" s="5" t="s">
        <v>8</v>
      </c>
      <c r="C228" s="8">
        <v>-173.25</v>
      </c>
      <c r="D228" s="5" t="s">
        <v>1424</v>
      </c>
      <c r="E228" s="5" t="s">
        <v>1700</v>
      </c>
      <c r="F228" s="5" t="s">
        <v>1699</v>
      </c>
    </row>
    <row r="229" spans="1:6" x14ac:dyDescent="0.25">
      <c r="A229" s="5" t="s">
        <v>99</v>
      </c>
      <c r="B229" s="5" t="s">
        <v>8</v>
      </c>
      <c r="C229" s="8">
        <v>-450</v>
      </c>
      <c r="D229" s="5" t="s">
        <v>1424</v>
      </c>
      <c r="E229" s="5" t="s">
        <v>1700</v>
      </c>
      <c r="F229" s="5" t="s">
        <v>1701</v>
      </c>
    </row>
    <row r="230" spans="1:6" x14ac:dyDescent="0.25">
      <c r="A230" s="5" t="s">
        <v>99</v>
      </c>
      <c r="B230" s="5" t="s">
        <v>8</v>
      </c>
      <c r="C230" s="8">
        <v>-450</v>
      </c>
      <c r="D230" s="5" t="s">
        <v>1424</v>
      </c>
      <c r="E230" s="5" t="s">
        <v>1700</v>
      </c>
      <c r="F230" s="5" t="s">
        <v>1699</v>
      </c>
    </row>
    <row r="231" spans="1:6" x14ac:dyDescent="0.25">
      <c r="A231" s="5" t="s">
        <v>1216</v>
      </c>
      <c r="B231" s="5" t="s">
        <v>8</v>
      </c>
      <c r="C231" s="8">
        <v>-450</v>
      </c>
      <c r="D231" s="5" t="s">
        <v>1424</v>
      </c>
      <c r="E231" s="5" t="s">
        <v>1700</v>
      </c>
      <c r="F231" s="5" t="s">
        <v>1699</v>
      </c>
    </row>
    <row r="232" spans="1:6" x14ac:dyDescent="0.25">
      <c r="A232" s="5" t="s">
        <v>1213</v>
      </c>
      <c r="B232" s="5" t="s">
        <v>8</v>
      </c>
      <c r="C232" s="8">
        <v>-459.15</v>
      </c>
      <c r="D232" s="5" t="s">
        <v>1424</v>
      </c>
      <c r="E232" s="5" t="s">
        <v>1544</v>
      </c>
      <c r="F232" s="5" t="s">
        <v>1702</v>
      </c>
    </row>
    <row r="233" spans="1:6" x14ac:dyDescent="0.25">
      <c r="A233" s="5" t="s">
        <v>58</v>
      </c>
      <c r="B233" s="5" t="s">
        <v>8</v>
      </c>
      <c r="C233" s="8">
        <v>-1500</v>
      </c>
      <c r="D233" s="5" t="s">
        <v>1587</v>
      </c>
      <c r="E233" s="5" t="s">
        <v>1703</v>
      </c>
      <c r="F233" s="5" t="s">
        <v>1704</v>
      </c>
    </row>
    <row r="234" spans="1:6" x14ac:dyDescent="0.25">
      <c r="A234" s="5" t="s">
        <v>1184</v>
      </c>
      <c r="B234" s="5" t="s">
        <v>8</v>
      </c>
      <c r="C234" s="8">
        <v>-1550</v>
      </c>
      <c r="D234" s="5" t="s">
        <v>1429</v>
      </c>
      <c r="E234" s="5" t="s">
        <v>1184</v>
      </c>
      <c r="F234" s="5" t="s">
        <v>1699</v>
      </c>
    </row>
    <row r="235" spans="1:6" x14ac:dyDescent="0.25">
      <c r="A235" s="5" t="s">
        <v>1124</v>
      </c>
      <c r="B235" s="5" t="s">
        <v>8</v>
      </c>
      <c r="C235" s="8">
        <v>-1558</v>
      </c>
      <c r="D235" s="5" t="s">
        <v>1705</v>
      </c>
      <c r="E235" s="5" t="s">
        <v>1706</v>
      </c>
      <c r="F235" s="5" t="s">
        <v>1707</v>
      </c>
    </row>
    <row r="236" spans="1:6" x14ac:dyDescent="0.25">
      <c r="A236" s="5" t="s">
        <v>1271</v>
      </c>
      <c r="B236" s="5" t="s">
        <v>8</v>
      </c>
      <c r="C236" s="8">
        <v>-2500</v>
      </c>
      <c r="D236" s="5" t="s">
        <v>1591</v>
      </c>
      <c r="E236" s="5" t="s">
        <v>1544</v>
      </c>
      <c r="F236" s="5" t="s">
        <v>1708</v>
      </c>
    </row>
    <row r="237" spans="1:6" x14ac:dyDescent="0.25">
      <c r="A237" s="5" t="s">
        <v>1213</v>
      </c>
      <c r="B237" s="5" t="s">
        <v>8</v>
      </c>
      <c r="C237" s="8">
        <v>-2749.59</v>
      </c>
      <c r="D237" s="5" t="s">
        <v>1424</v>
      </c>
      <c r="E237" s="5" t="s">
        <v>1544</v>
      </c>
      <c r="F237" s="5" t="s">
        <v>1702</v>
      </c>
    </row>
    <row r="238" spans="1:6" x14ac:dyDescent="0.25">
      <c r="A238" s="5" t="s">
        <v>99</v>
      </c>
      <c r="B238" s="5" t="s">
        <v>8</v>
      </c>
      <c r="C238" s="8">
        <v>-2904.8</v>
      </c>
      <c r="D238" s="5" t="s">
        <v>1424</v>
      </c>
      <c r="E238" s="5" t="s">
        <v>1700</v>
      </c>
      <c r="F238" s="5" t="s">
        <v>1701</v>
      </c>
    </row>
    <row r="239" spans="1:6" x14ac:dyDescent="0.25">
      <c r="A239" s="5" t="s">
        <v>273</v>
      </c>
      <c r="B239" s="5" t="s">
        <v>8</v>
      </c>
      <c r="C239" s="8">
        <v>-3475.14</v>
      </c>
      <c r="D239" s="5" t="s">
        <v>1396</v>
      </c>
      <c r="E239" s="5" t="s">
        <v>1698</v>
      </c>
      <c r="F239" s="5" t="s">
        <v>1699</v>
      </c>
    </row>
    <row r="240" spans="1:6" x14ac:dyDescent="0.25">
      <c r="A240" s="5" t="s">
        <v>1274</v>
      </c>
      <c r="B240" s="5" t="s">
        <v>8</v>
      </c>
      <c r="C240" s="8">
        <v>-4080</v>
      </c>
      <c r="D240" s="5" t="s">
        <v>1709</v>
      </c>
      <c r="E240" s="5" t="s">
        <v>1710</v>
      </c>
      <c r="F240" s="5" t="s">
        <v>1699</v>
      </c>
    </row>
    <row r="241" spans="1:6" x14ac:dyDescent="0.25">
      <c r="A241" s="5" t="s">
        <v>1269</v>
      </c>
      <c r="B241" s="5" t="s">
        <v>8</v>
      </c>
      <c r="C241" s="8">
        <v>-5866.67</v>
      </c>
      <c r="D241" s="5" t="s">
        <v>1396</v>
      </c>
      <c r="E241" s="5" t="s">
        <v>1228</v>
      </c>
      <c r="F241" s="5" t="s">
        <v>1711</v>
      </c>
    </row>
    <row r="242" spans="1:6" x14ac:dyDescent="0.25">
      <c r="A242" s="5" t="s">
        <v>1253</v>
      </c>
      <c r="B242" s="5" t="s">
        <v>8</v>
      </c>
      <c r="C242" s="8">
        <v>-15331.32</v>
      </c>
      <c r="D242" s="5" t="s">
        <v>1424</v>
      </c>
      <c r="E242" s="5" t="s">
        <v>1712</v>
      </c>
      <c r="F242" s="5" t="s">
        <v>1699</v>
      </c>
    </row>
    <row r="243" spans="1:6" x14ac:dyDescent="0.25">
      <c r="A243" s="5" t="s">
        <v>1180</v>
      </c>
      <c r="B243" s="5" t="s">
        <v>8</v>
      </c>
      <c r="C243" s="8">
        <v>-15500</v>
      </c>
      <c r="D243" s="5" t="s">
        <v>1429</v>
      </c>
      <c r="E243" s="5" t="s">
        <v>1184</v>
      </c>
      <c r="F243" s="5" t="s">
        <v>1699</v>
      </c>
    </row>
    <row r="244" spans="1:6" x14ac:dyDescent="0.25">
      <c r="A244" s="5" t="s">
        <v>1182</v>
      </c>
      <c r="B244" s="5" t="s">
        <v>8</v>
      </c>
      <c r="C244" s="8">
        <v>-15500</v>
      </c>
      <c r="D244" s="5" t="s">
        <v>1429</v>
      </c>
      <c r="E244" s="5" t="s">
        <v>1184</v>
      </c>
      <c r="F244" s="5" t="s">
        <v>1699</v>
      </c>
    </row>
    <row r="245" spans="1:6" x14ac:dyDescent="0.25">
      <c r="A245" s="24" t="s">
        <v>1713</v>
      </c>
      <c r="B245" s="24" t="s">
        <v>3</v>
      </c>
      <c r="C245" s="27">
        <v>1216735.6</v>
      </c>
      <c r="D245" s="24" t="s">
        <v>3</v>
      </c>
      <c r="E245" s="24" t="s">
        <v>3</v>
      </c>
      <c r="F245" s="24" t="s">
        <v>3</v>
      </c>
    </row>
    <row r="247" ht="22" customHeight="1" spans="1:6" x14ac:dyDescent="0.25">
      <c r="A247" s="3" t="s">
        <v>1714</v>
      </c>
      <c r="B247" s="3"/>
      <c r="C247" s="3"/>
      <c r="D247" s="3"/>
      <c r="E247" s="3"/>
      <c r="F247" s="3"/>
    </row>
    <row r="248" ht="30" customHeight="1" spans="1:6" x14ac:dyDescent="0.25">
      <c r="A248" s="4" t="s">
        <v>33</v>
      </c>
      <c r="B248" s="4" t="s">
        <v>3</v>
      </c>
      <c r="C248" s="4" t="s">
        <v>1715</v>
      </c>
      <c r="D248" s="4" t="s">
        <v>1716</v>
      </c>
      <c r="E248" s="4" t="s">
        <v>1717</v>
      </c>
      <c r="F248" s="4" t="s">
        <v>1718</v>
      </c>
    </row>
    <row r="249" spans="1:6" x14ac:dyDescent="0.25">
      <c r="A249" s="5" t="s">
        <v>1719</v>
      </c>
      <c r="B249" s="5" t="s">
        <v>3</v>
      </c>
      <c r="C249" s="6">
        <v>507493.95</v>
      </c>
      <c r="D249" s="6">
        <v>507493.95</v>
      </c>
      <c r="E249" s="6">
        <v>501335.46</v>
      </c>
      <c r="F249" s="26">
        <v>6158.49</v>
      </c>
    </row>
    <row r="250" spans="1:6" x14ac:dyDescent="0.25">
      <c r="A250" s="5" t="s">
        <v>1720</v>
      </c>
      <c r="B250" s="5" t="s">
        <v>3</v>
      </c>
      <c r="C250" s="6">
        <v>587911.77</v>
      </c>
      <c r="D250" s="6">
        <v>587911.77</v>
      </c>
      <c r="E250" s="6">
        <v>587911</v>
      </c>
      <c r="F250" s="6">
        <v>0.77</v>
      </c>
    </row>
    <row r="251" spans="1:6" x14ac:dyDescent="0.25">
      <c r="A251" s="5" t="s">
        <v>1721</v>
      </c>
      <c r="B251" s="5" t="s">
        <v>3</v>
      </c>
      <c r="C251" s="6">
        <v>832108.38</v>
      </c>
      <c r="D251" s="6">
        <v>832108.38</v>
      </c>
      <c r="E251" s="6">
        <v>812105.21</v>
      </c>
      <c r="F251" s="26">
        <v>20003.17</v>
      </c>
    </row>
    <row r="252" spans="1:6" x14ac:dyDescent="0.25">
      <c r="A252" s="5" t="s">
        <v>1722</v>
      </c>
      <c r="B252" s="5" t="s">
        <v>3</v>
      </c>
      <c r="C252" s="6">
        <v>714588.92</v>
      </c>
      <c r="D252" s="6">
        <v>714588.92</v>
      </c>
      <c r="E252" s="6">
        <v>701900.06</v>
      </c>
      <c r="F252" s="26">
        <v>12688.86</v>
      </c>
    </row>
    <row r="253" spans="1:6" x14ac:dyDescent="0.25">
      <c r="A253" s="5" t="s">
        <v>1723</v>
      </c>
      <c r="B253" s="5" t="s">
        <v>3</v>
      </c>
      <c r="C253" s="6">
        <v>1057894.17</v>
      </c>
      <c r="D253" s="6">
        <v>1057894.17</v>
      </c>
      <c r="E253" s="6">
        <v>1057894</v>
      </c>
      <c r="F253" s="6">
        <v>0.17</v>
      </c>
    </row>
    <row r="254" spans="1:6" x14ac:dyDescent="0.25">
      <c r="A254" s="5" t="s">
        <v>1724</v>
      </c>
      <c r="B254" s="5" t="s">
        <v>3</v>
      </c>
      <c r="C254" s="6">
        <v>1182057.66</v>
      </c>
      <c r="D254" s="6">
        <v>1182057.66</v>
      </c>
      <c r="E254" s="6">
        <v>1177023.6</v>
      </c>
      <c r="F254" s="26">
        <v>5034.06</v>
      </c>
    </row>
    <row r="255" spans="1:6" x14ac:dyDescent="0.25">
      <c r="A255" s="24" t="s">
        <v>486</v>
      </c>
      <c r="B255" s="24" t="s">
        <v>3</v>
      </c>
      <c r="C255" s="27">
        <v>4882054.85</v>
      </c>
      <c r="D255" s="27">
        <v>4882054.85</v>
      </c>
      <c r="E255" s="27">
        <v>4838169.33</v>
      </c>
      <c r="F255" s="27">
        <v>43885.52</v>
      </c>
    </row>
    <row r="256" ht="32" customHeight="1" spans="1:6" x14ac:dyDescent="0.25">
      <c r="A256" s="5" t="s">
        <v>1725</v>
      </c>
      <c r="B256" s="5"/>
      <c r="C256" s="5"/>
      <c r="D256" s="5"/>
      <c r="E256" s="5"/>
      <c r="F256" s="5"/>
    </row>
    <row r="258" ht="22" customHeight="1" spans="1:6" x14ac:dyDescent="0.25">
      <c r="A258" s="3" t="s">
        <v>1726</v>
      </c>
      <c r="B258" s="3"/>
      <c r="C258" s="3"/>
      <c r="D258" s="3"/>
      <c r="E258" s="3"/>
      <c r="F258" s="3"/>
    </row>
    <row r="259" ht="30" customHeight="1" spans="1:6" x14ac:dyDescent="0.25">
      <c r="A259" s="4" t="s">
        <v>34</v>
      </c>
      <c r="B259" s="4" t="s">
        <v>33</v>
      </c>
      <c r="C259" s="4" t="s">
        <v>1727</v>
      </c>
      <c r="D259" s="4" t="s">
        <v>1728</v>
      </c>
      <c r="E259" s="4" t="s">
        <v>1729</v>
      </c>
      <c r="F259" s="4" t="s">
        <v>1730</v>
      </c>
    </row>
    <row r="260" spans="1:6" x14ac:dyDescent="0.25">
      <c r="A260" s="5" t="s">
        <v>669</v>
      </c>
      <c r="B260" s="5" t="s">
        <v>4</v>
      </c>
      <c r="C260" s="6">
        <v>149</v>
      </c>
      <c r="D260" s="5" t="s">
        <v>1731</v>
      </c>
      <c r="E260" s="5" t="s">
        <v>1732</v>
      </c>
      <c r="F260" s="5" t="s">
        <v>1733</v>
      </c>
    </row>
    <row r="261" spans="1:6" x14ac:dyDescent="0.25">
      <c r="A261" s="5" t="s">
        <v>559</v>
      </c>
      <c r="B261" s="5" t="s">
        <v>5</v>
      </c>
      <c r="C261" s="6">
        <v>730</v>
      </c>
      <c r="D261" s="5" t="s">
        <v>1734</v>
      </c>
      <c r="E261" s="5" t="s">
        <v>1735</v>
      </c>
      <c r="F261" s="5" t="s">
        <v>1733</v>
      </c>
    </row>
    <row r="262" spans="1:6" x14ac:dyDescent="0.25">
      <c r="A262" s="5" t="s">
        <v>669</v>
      </c>
      <c r="B262" s="5" t="s">
        <v>5</v>
      </c>
      <c r="C262" s="6">
        <v>149</v>
      </c>
      <c r="D262" s="5" t="s">
        <v>1736</v>
      </c>
      <c r="E262" s="5" t="s">
        <v>1732</v>
      </c>
      <c r="F262" s="5" t="s">
        <v>1733</v>
      </c>
    </row>
    <row r="263" spans="1:6" x14ac:dyDescent="0.25">
      <c r="A263" s="5" t="s">
        <v>559</v>
      </c>
      <c r="B263" s="5" t="s">
        <v>6</v>
      </c>
      <c r="C263" s="6">
        <v>1480</v>
      </c>
      <c r="D263" s="5" t="s">
        <v>1737</v>
      </c>
      <c r="E263" s="5" t="s">
        <v>1738</v>
      </c>
      <c r="F263" s="5" t="s">
        <v>1733</v>
      </c>
    </row>
    <row r="264" spans="1:6" x14ac:dyDescent="0.25">
      <c r="A264" s="5" t="s">
        <v>669</v>
      </c>
      <c r="B264" s="5" t="s">
        <v>6</v>
      </c>
      <c r="C264" s="6">
        <v>149.01</v>
      </c>
      <c r="D264" s="5" t="s">
        <v>1739</v>
      </c>
      <c r="E264" s="5" t="s">
        <v>1732</v>
      </c>
      <c r="F264" s="5" t="s">
        <v>1733</v>
      </c>
    </row>
    <row r="265" spans="1:6" x14ac:dyDescent="0.25">
      <c r="A265" s="5" t="s">
        <v>840</v>
      </c>
      <c r="B265" s="5" t="s">
        <v>6</v>
      </c>
      <c r="C265" s="6">
        <v>148</v>
      </c>
      <c r="D265" s="5" t="s">
        <v>1740</v>
      </c>
      <c r="E265" s="5" t="s">
        <v>1741</v>
      </c>
      <c r="F265" s="5" t="s">
        <v>1733</v>
      </c>
    </row>
    <row r="266" spans="1:6" x14ac:dyDescent="0.25">
      <c r="A266" s="5" t="s">
        <v>559</v>
      </c>
      <c r="B266" s="5" t="s">
        <v>7</v>
      </c>
      <c r="C266" s="6">
        <v>2614</v>
      </c>
      <c r="D266" s="5" t="s">
        <v>1742</v>
      </c>
      <c r="E266" s="5" t="s">
        <v>1743</v>
      </c>
      <c r="F266" s="5" t="s">
        <v>1733</v>
      </c>
    </row>
    <row r="267" spans="1:6" x14ac:dyDescent="0.25">
      <c r="A267" s="5" t="s">
        <v>595</v>
      </c>
      <c r="B267" s="5" t="s">
        <v>7</v>
      </c>
      <c r="C267" s="6">
        <v>244.23</v>
      </c>
      <c r="D267" s="5" t="s">
        <v>1744</v>
      </c>
      <c r="E267" s="5" t="s">
        <v>1745</v>
      </c>
      <c r="F267" s="5" t="s">
        <v>1733</v>
      </c>
    </row>
    <row r="268" spans="1:6" x14ac:dyDescent="0.25">
      <c r="A268" s="5" t="s">
        <v>840</v>
      </c>
      <c r="B268" s="5" t="s">
        <v>7</v>
      </c>
      <c r="C268" s="6">
        <v>221</v>
      </c>
      <c r="D268" s="5" t="s">
        <v>1746</v>
      </c>
      <c r="E268" s="5" t="s">
        <v>1747</v>
      </c>
      <c r="F268" s="5" t="s">
        <v>1733</v>
      </c>
    </row>
    <row r="269" spans="1:6" x14ac:dyDescent="0.25">
      <c r="A269" s="5" t="s">
        <v>669</v>
      </c>
      <c r="B269" s="5" t="s">
        <v>7</v>
      </c>
      <c r="C269" s="6">
        <v>149</v>
      </c>
      <c r="D269" s="5" t="s">
        <v>1748</v>
      </c>
      <c r="E269" s="5" t="s">
        <v>1732</v>
      </c>
      <c r="F269" s="5" t="s">
        <v>1733</v>
      </c>
    </row>
    <row r="270" spans="1:6" x14ac:dyDescent="0.25">
      <c r="A270" s="5" t="s">
        <v>559</v>
      </c>
      <c r="B270" s="5" t="s">
        <v>8</v>
      </c>
      <c r="C270" s="6">
        <v>2890</v>
      </c>
      <c r="D270" s="5" t="s">
        <v>1749</v>
      </c>
      <c r="E270" s="5" t="s">
        <v>1750</v>
      </c>
      <c r="F270" s="5" t="s">
        <v>1733</v>
      </c>
    </row>
    <row r="271" spans="1:6" x14ac:dyDescent="0.25">
      <c r="A271" s="5" t="s">
        <v>840</v>
      </c>
      <c r="B271" s="5" t="s">
        <v>8</v>
      </c>
      <c r="C271" s="6">
        <v>86</v>
      </c>
      <c r="D271" s="5" t="s">
        <v>1751</v>
      </c>
      <c r="E271" s="5" t="s">
        <v>1752</v>
      </c>
      <c r="F271" s="5" t="s">
        <v>1733</v>
      </c>
    </row>
    <row r="272" spans="1:6" x14ac:dyDescent="0.25">
      <c r="A272" s="5" t="s">
        <v>559</v>
      </c>
      <c r="B272" s="5" t="s">
        <v>9</v>
      </c>
      <c r="C272" s="6">
        <v>2317</v>
      </c>
      <c r="D272" s="5" t="s">
        <v>1753</v>
      </c>
      <c r="E272" s="5" t="s">
        <v>1754</v>
      </c>
      <c r="F272" s="5" t="s">
        <v>1733</v>
      </c>
    </row>
    <row r="273" spans="1:6" x14ac:dyDescent="0.25">
      <c r="A273" s="5" t="s">
        <v>666</v>
      </c>
      <c r="B273" s="5" t="s">
        <v>9</v>
      </c>
      <c r="C273" s="6">
        <v>660.36</v>
      </c>
      <c r="D273" s="5" t="s">
        <v>1755</v>
      </c>
      <c r="E273" s="5" t="s">
        <v>1756</v>
      </c>
      <c r="F273" s="5" t="s">
        <v>1733</v>
      </c>
    </row>
    <row r="274" spans="1:6" x14ac:dyDescent="0.25">
      <c r="A274" s="5" t="s">
        <v>840</v>
      </c>
      <c r="B274" s="5" t="s">
        <v>9</v>
      </c>
      <c r="C274" s="6">
        <v>130</v>
      </c>
      <c r="D274" s="5" t="s">
        <v>1757</v>
      </c>
      <c r="E274" s="5" t="s">
        <v>1758</v>
      </c>
      <c r="F274" s="5" t="s">
        <v>1733</v>
      </c>
    </row>
    <row r="275" spans="1:6" x14ac:dyDescent="0.25">
      <c r="A275" s="24" t="s">
        <v>1759</v>
      </c>
      <c r="B275" s="24" t="s">
        <v>3</v>
      </c>
      <c r="C275" s="27">
        <v>12116.6</v>
      </c>
      <c r="D275" s="24" t="s">
        <v>3</v>
      </c>
      <c r="E275" s="24" t="s">
        <v>3</v>
      </c>
      <c r="F275" s="24" t="s">
        <v>3</v>
      </c>
    </row>
    <row r="277" ht="22" customHeight="1" spans="1:6" x14ac:dyDescent="0.25">
      <c r="A277" s="3" t="s">
        <v>1760</v>
      </c>
      <c r="B277" s="3"/>
      <c r="C277" s="3"/>
      <c r="D277" s="3"/>
      <c r="E277" s="3"/>
      <c r="F277" s="3"/>
    </row>
    <row r="278" ht="30" customHeight="1" spans="1:6" x14ac:dyDescent="0.25">
      <c r="A278" s="4" t="s">
        <v>34</v>
      </c>
      <c r="B278" s="4" t="s">
        <v>33</v>
      </c>
      <c r="C278" s="4" t="s">
        <v>1761</v>
      </c>
      <c r="D278" s="4" t="s">
        <v>1762</v>
      </c>
      <c r="E278" s="4" t="s">
        <v>1763</v>
      </c>
      <c r="F278" s="4" t="s">
        <v>1764</v>
      </c>
    </row>
    <row r="279" spans="1:6" x14ac:dyDescent="0.25">
      <c r="A279" s="5" t="s">
        <v>663</v>
      </c>
      <c r="B279" s="5" t="s">
        <v>4</v>
      </c>
      <c r="C279" s="6">
        <v>60.68</v>
      </c>
      <c r="D279" s="5" t="s">
        <v>1765</v>
      </c>
      <c r="E279" s="5" t="s">
        <v>1766</v>
      </c>
      <c r="F279" s="11" t="s">
        <v>3</v>
      </c>
    </row>
    <row r="280" spans="1:6" x14ac:dyDescent="0.25">
      <c r="A280" s="5" t="s">
        <v>60</v>
      </c>
      <c r="B280" s="5" t="s">
        <v>9</v>
      </c>
      <c r="C280" s="6">
        <v>1173.61</v>
      </c>
      <c r="D280" s="5" t="s">
        <v>1767</v>
      </c>
      <c r="E280" s="5" t="s">
        <v>1768</v>
      </c>
      <c r="F280" s="11" t="s">
        <v>3</v>
      </c>
    </row>
    <row r="281" spans="1:6" x14ac:dyDescent="0.25">
      <c r="A281" s="5" t="s">
        <v>1111</v>
      </c>
      <c r="B281" s="5" t="s">
        <v>8</v>
      </c>
      <c r="C281" s="6">
        <v>4118.81</v>
      </c>
      <c r="D281" s="5" t="s">
        <v>1769</v>
      </c>
      <c r="E281" s="5" t="s">
        <v>1770</v>
      </c>
      <c r="F281" s="11" t="s">
        <v>3</v>
      </c>
    </row>
    <row r="282" spans="1:6" x14ac:dyDescent="0.25">
      <c r="A282" s="5" t="s">
        <v>1111</v>
      </c>
      <c r="B282" s="5" t="s">
        <v>8</v>
      </c>
      <c r="C282" s="6">
        <v>3636.51</v>
      </c>
      <c r="D282" s="5" t="s">
        <v>1769</v>
      </c>
      <c r="E282" s="5" t="s">
        <v>1771</v>
      </c>
      <c r="F282" s="11" t="s">
        <v>3</v>
      </c>
    </row>
    <row r="283" spans="1:6" x14ac:dyDescent="0.25">
      <c r="A283" s="5" t="s">
        <v>600</v>
      </c>
      <c r="B283" s="5" t="s">
        <v>5</v>
      </c>
      <c r="C283" s="6">
        <v>1611.59</v>
      </c>
      <c r="D283" s="5" t="s">
        <v>1772</v>
      </c>
      <c r="E283" s="5" t="s">
        <v>1773</v>
      </c>
      <c r="F283" s="11" t="s">
        <v>3</v>
      </c>
    </row>
    <row r="284" spans="1:6" x14ac:dyDescent="0.25">
      <c r="A284" s="5" t="s">
        <v>64</v>
      </c>
      <c r="B284" s="5" t="s">
        <v>6</v>
      </c>
      <c r="C284" s="6">
        <v>330.05</v>
      </c>
      <c r="D284" s="5" t="s">
        <v>1774</v>
      </c>
      <c r="E284" s="5" t="s">
        <v>1775</v>
      </c>
      <c r="F284" s="11" t="s">
        <v>3</v>
      </c>
    </row>
    <row r="285" spans="1:6" x14ac:dyDescent="0.25">
      <c r="A285" s="5" t="s">
        <v>64</v>
      </c>
      <c r="B285" s="5" t="s">
        <v>9</v>
      </c>
      <c r="C285" s="6">
        <v>353.19</v>
      </c>
      <c r="D285" s="5" t="s">
        <v>1776</v>
      </c>
      <c r="E285" s="5" t="s">
        <v>1777</v>
      </c>
      <c r="F285" s="11" t="s">
        <v>3</v>
      </c>
    </row>
    <row r="286" spans="1:6" x14ac:dyDescent="0.25">
      <c r="A286" s="5" t="s">
        <v>671</v>
      </c>
      <c r="B286" s="5" t="s">
        <v>4</v>
      </c>
      <c r="C286" s="6">
        <v>91.01</v>
      </c>
      <c r="D286" s="5" t="s">
        <v>1778</v>
      </c>
      <c r="E286" s="5" t="s">
        <v>1779</v>
      </c>
      <c r="F286" s="11" t="s">
        <v>3</v>
      </c>
    </row>
    <row r="287" spans="1:6" x14ac:dyDescent="0.25">
      <c r="A287" s="5" t="s">
        <v>671</v>
      </c>
      <c r="B287" s="5" t="s">
        <v>6</v>
      </c>
      <c r="C287" s="6">
        <v>180.3</v>
      </c>
      <c r="D287" s="5" t="s">
        <v>1780</v>
      </c>
      <c r="E287" s="5" t="s">
        <v>1779</v>
      </c>
      <c r="F287" s="11" t="s">
        <v>3</v>
      </c>
    </row>
    <row r="288" spans="1:6" x14ac:dyDescent="0.25">
      <c r="A288" s="5" t="s">
        <v>671</v>
      </c>
      <c r="B288" s="5" t="s">
        <v>7</v>
      </c>
      <c r="C288" s="6">
        <v>133.17</v>
      </c>
      <c r="D288" s="5" t="s">
        <v>1781</v>
      </c>
      <c r="E288" s="5" t="s">
        <v>1779</v>
      </c>
      <c r="F288" s="11" t="s">
        <v>3</v>
      </c>
    </row>
    <row r="289" spans="1:6" x14ac:dyDescent="0.25">
      <c r="A289" s="5" t="s">
        <v>841</v>
      </c>
      <c r="B289" s="5" t="s">
        <v>6</v>
      </c>
      <c r="C289" s="6">
        <v>625.3</v>
      </c>
      <c r="D289" s="5" t="s">
        <v>1782</v>
      </c>
      <c r="E289" s="5" t="s">
        <v>1783</v>
      </c>
      <c r="F289" s="11" t="s">
        <v>3</v>
      </c>
    </row>
    <row r="290" spans="1:6" x14ac:dyDescent="0.25">
      <c r="A290" s="5" t="s">
        <v>840</v>
      </c>
      <c r="B290" s="5" t="s">
        <v>5</v>
      </c>
      <c r="C290" s="6">
        <v>2000</v>
      </c>
      <c r="D290" s="5" t="s">
        <v>1784</v>
      </c>
      <c r="E290" s="5" t="s">
        <v>1785</v>
      </c>
      <c r="F290" s="11" t="s">
        <v>3</v>
      </c>
    </row>
    <row r="291" spans="1:6" x14ac:dyDescent="0.25">
      <c r="A291" s="5" t="s">
        <v>785</v>
      </c>
      <c r="B291" s="5" t="s">
        <v>8</v>
      </c>
      <c r="C291" s="6">
        <v>1352.65</v>
      </c>
      <c r="D291" s="5" t="s">
        <v>1786</v>
      </c>
      <c r="E291" s="5" t="s">
        <v>1787</v>
      </c>
      <c r="F291" s="11" t="s">
        <v>3</v>
      </c>
    </row>
    <row r="292" spans="1:6" x14ac:dyDescent="0.25">
      <c r="A292" s="5" t="s">
        <v>1320</v>
      </c>
      <c r="B292" s="5" t="s">
        <v>9</v>
      </c>
      <c r="C292" s="6">
        <v>5575.26</v>
      </c>
      <c r="D292" s="5" t="s">
        <v>1788</v>
      </c>
      <c r="E292" s="5" t="s">
        <v>1789</v>
      </c>
      <c r="F292" s="11" t="s">
        <v>3</v>
      </c>
    </row>
    <row r="293" spans="1:6" x14ac:dyDescent="0.25">
      <c r="A293" s="5" t="s">
        <v>740</v>
      </c>
      <c r="B293" s="5" t="s">
        <v>4</v>
      </c>
      <c r="C293" s="6">
        <v>510</v>
      </c>
      <c r="D293" s="5" t="s">
        <v>1790</v>
      </c>
      <c r="E293" s="5" t="s">
        <v>1791</v>
      </c>
      <c r="F293" s="11" t="s">
        <v>3</v>
      </c>
    </row>
    <row r="294" spans="1:6" x14ac:dyDescent="0.25">
      <c r="A294" s="5" t="s">
        <v>99</v>
      </c>
      <c r="B294" s="5" t="s">
        <v>6</v>
      </c>
      <c r="C294" s="6">
        <v>514.05</v>
      </c>
      <c r="D294" s="5" t="s">
        <v>1792</v>
      </c>
      <c r="E294" s="5" t="s">
        <v>1793</v>
      </c>
      <c r="F294" s="11" t="s">
        <v>3</v>
      </c>
    </row>
    <row r="295" spans="1:6" x14ac:dyDescent="0.25">
      <c r="A295" s="5" t="s">
        <v>653</v>
      </c>
      <c r="B295" s="5" t="s">
        <v>4</v>
      </c>
      <c r="C295" s="6">
        <v>3200</v>
      </c>
      <c r="D295" s="5" t="s">
        <v>1794</v>
      </c>
      <c r="E295" s="5" t="s">
        <v>1795</v>
      </c>
      <c r="F295" s="11" t="s">
        <v>3</v>
      </c>
    </row>
    <row r="296" spans="1:6" x14ac:dyDescent="0.25">
      <c r="A296" s="5" t="s">
        <v>626</v>
      </c>
      <c r="B296" s="5" t="s">
        <v>4</v>
      </c>
      <c r="C296" s="6">
        <v>1041.17</v>
      </c>
      <c r="D296" s="5" t="s">
        <v>1794</v>
      </c>
      <c r="E296" s="5" t="s">
        <v>1796</v>
      </c>
      <c r="F296" s="11" t="s">
        <v>3</v>
      </c>
    </row>
    <row r="297" spans="1:6" x14ac:dyDescent="0.25">
      <c r="A297" s="5" t="s">
        <v>868</v>
      </c>
      <c r="B297" s="5" t="s">
        <v>5</v>
      </c>
      <c r="C297" s="6">
        <v>577.74</v>
      </c>
      <c r="D297" s="5" t="s">
        <v>1797</v>
      </c>
      <c r="E297" s="5" t="s">
        <v>1798</v>
      </c>
      <c r="F297" s="11" t="s">
        <v>3</v>
      </c>
    </row>
    <row r="298" spans="1:6" x14ac:dyDescent="0.25">
      <c r="A298" s="5" t="s">
        <v>598</v>
      </c>
      <c r="B298" s="5" t="s">
        <v>6</v>
      </c>
      <c r="C298" s="6">
        <v>386.79</v>
      </c>
      <c r="D298" s="5" t="s">
        <v>1799</v>
      </c>
      <c r="E298" s="5" t="s">
        <v>1800</v>
      </c>
      <c r="F298" s="11" t="s">
        <v>3</v>
      </c>
    </row>
    <row r="299" spans="1:6" x14ac:dyDescent="0.25">
      <c r="A299" s="5" t="s">
        <v>42</v>
      </c>
      <c r="B299" s="5" t="s">
        <v>6</v>
      </c>
      <c r="C299" s="6">
        <v>194.87</v>
      </c>
      <c r="D299" s="5" t="s">
        <v>1799</v>
      </c>
      <c r="E299" s="5" t="s">
        <v>1801</v>
      </c>
      <c r="F299" s="11" t="s">
        <v>3</v>
      </c>
    </row>
    <row r="300" spans="1:6" x14ac:dyDescent="0.25">
      <c r="A300" s="5" t="s">
        <v>556</v>
      </c>
      <c r="B300" s="5" t="s">
        <v>8</v>
      </c>
      <c r="C300" s="6">
        <v>1204.04</v>
      </c>
      <c r="D300" s="5" t="s">
        <v>1802</v>
      </c>
      <c r="E300" s="5" t="s">
        <v>1803</v>
      </c>
      <c r="F300" s="11" t="s">
        <v>3</v>
      </c>
    </row>
    <row r="301" spans="1:6" x14ac:dyDescent="0.25">
      <c r="A301" s="5" t="s">
        <v>302</v>
      </c>
      <c r="B301" s="5" t="s">
        <v>4</v>
      </c>
      <c r="C301" s="6">
        <v>353.75</v>
      </c>
      <c r="D301" s="5" t="s">
        <v>1804</v>
      </c>
      <c r="E301" s="5" t="s">
        <v>1805</v>
      </c>
      <c r="F301" s="11" t="s">
        <v>3</v>
      </c>
    </row>
    <row r="302" spans="1:6" x14ac:dyDescent="0.25">
      <c r="A302" s="5" t="s">
        <v>686</v>
      </c>
      <c r="B302" s="5" t="s">
        <v>9</v>
      </c>
      <c r="C302" s="6">
        <v>5000</v>
      </c>
      <c r="D302" s="5" t="s">
        <v>1806</v>
      </c>
      <c r="E302" s="5" t="s">
        <v>1766</v>
      </c>
      <c r="F302" s="11" t="s">
        <v>3</v>
      </c>
    </row>
    <row r="303" spans="1:6" x14ac:dyDescent="0.25">
      <c r="A303" s="5" t="s">
        <v>655</v>
      </c>
      <c r="B303" s="5" t="s">
        <v>4</v>
      </c>
      <c r="C303" s="6">
        <v>21.84</v>
      </c>
      <c r="D303" s="5" t="s">
        <v>1807</v>
      </c>
      <c r="E303" s="5" t="s">
        <v>1808</v>
      </c>
      <c r="F303" s="11" t="s">
        <v>3</v>
      </c>
    </row>
    <row r="304" spans="1:6" x14ac:dyDescent="0.25">
      <c r="A304" s="5" t="s">
        <v>799</v>
      </c>
      <c r="B304" s="5" t="s">
        <v>5</v>
      </c>
      <c r="C304" s="6">
        <v>139.98</v>
      </c>
      <c r="D304" s="5" t="s">
        <v>1809</v>
      </c>
      <c r="E304" s="5" t="s">
        <v>1810</v>
      </c>
      <c r="F304" s="11" t="s">
        <v>3</v>
      </c>
    </row>
    <row r="305" spans="1:6" x14ac:dyDescent="0.25">
      <c r="A305" s="5" t="s">
        <v>799</v>
      </c>
      <c r="B305" s="5" t="s">
        <v>9</v>
      </c>
      <c r="C305" s="6">
        <v>1279.87</v>
      </c>
      <c r="D305" s="5" t="s">
        <v>1811</v>
      </c>
      <c r="E305" s="5" t="s">
        <v>1812</v>
      </c>
      <c r="F305" s="11" t="s">
        <v>3</v>
      </c>
    </row>
    <row r="306" spans="1:6" x14ac:dyDescent="0.25">
      <c r="A306" s="5" t="s">
        <v>1066</v>
      </c>
      <c r="B306" s="5" t="s">
        <v>6</v>
      </c>
      <c r="C306" s="6">
        <v>80.36</v>
      </c>
      <c r="D306" s="5" t="s">
        <v>1813</v>
      </c>
      <c r="E306" s="5" t="s">
        <v>1814</v>
      </c>
      <c r="F306" s="11" t="s">
        <v>3</v>
      </c>
    </row>
    <row r="307" spans="1:6" x14ac:dyDescent="0.25">
      <c r="A307" s="5" t="s">
        <v>1076</v>
      </c>
      <c r="B307" s="5" t="s">
        <v>6</v>
      </c>
      <c r="C307" s="6">
        <v>120.2</v>
      </c>
      <c r="D307" s="5" t="s">
        <v>1815</v>
      </c>
      <c r="E307" s="5" t="s">
        <v>1766</v>
      </c>
      <c r="F307" s="11" t="s">
        <v>3</v>
      </c>
    </row>
    <row r="308" spans="1:6" x14ac:dyDescent="0.25">
      <c r="A308" s="5" t="s">
        <v>593</v>
      </c>
      <c r="B308" s="5" t="s">
        <v>8</v>
      </c>
      <c r="C308" s="6">
        <v>4108.5</v>
      </c>
      <c r="D308" s="5" t="s">
        <v>1816</v>
      </c>
      <c r="E308" s="5" t="s">
        <v>1817</v>
      </c>
      <c r="F308" s="11" t="s">
        <v>3</v>
      </c>
    </row>
    <row r="309" spans="1:6" x14ac:dyDescent="0.25">
      <c r="A309" s="5" t="s">
        <v>1121</v>
      </c>
      <c r="B309" s="5" t="s">
        <v>7</v>
      </c>
      <c r="C309" s="6">
        <v>208.9</v>
      </c>
      <c r="D309" s="5" t="s">
        <v>1818</v>
      </c>
      <c r="E309" s="5" t="s">
        <v>1819</v>
      </c>
      <c r="F309" s="11" t="s">
        <v>3</v>
      </c>
    </row>
    <row r="310" spans="1:6" x14ac:dyDescent="0.25">
      <c r="A310" s="5" t="s">
        <v>121</v>
      </c>
      <c r="B310" s="5" t="s">
        <v>6</v>
      </c>
      <c r="C310" s="6">
        <v>4320.35</v>
      </c>
      <c r="D310" s="5" t="s">
        <v>1820</v>
      </c>
      <c r="E310" s="5" t="s">
        <v>1821</v>
      </c>
      <c r="F310" s="11" t="s">
        <v>3</v>
      </c>
    </row>
    <row r="311" spans="1:6" x14ac:dyDescent="0.25">
      <c r="A311" s="5" t="s">
        <v>595</v>
      </c>
      <c r="B311" s="5" t="s">
        <v>5</v>
      </c>
      <c r="C311" s="6">
        <v>4986.21</v>
      </c>
      <c r="D311" s="5" t="s">
        <v>1822</v>
      </c>
      <c r="E311" s="5" t="s">
        <v>1823</v>
      </c>
      <c r="F311" s="11" t="s">
        <v>3</v>
      </c>
    </row>
    <row r="312" spans="1:6" x14ac:dyDescent="0.25">
      <c r="A312" s="5" t="s">
        <v>595</v>
      </c>
      <c r="B312" s="5" t="s">
        <v>5</v>
      </c>
      <c r="C312" s="6">
        <v>692.31</v>
      </c>
      <c r="D312" s="5" t="s">
        <v>1822</v>
      </c>
      <c r="E312" s="5" t="s">
        <v>1824</v>
      </c>
      <c r="F312" s="11" t="s">
        <v>3</v>
      </c>
    </row>
    <row r="313" spans="1:6" x14ac:dyDescent="0.25">
      <c r="A313" s="5" t="s">
        <v>1083</v>
      </c>
      <c r="B313" s="5" t="s">
        <v>6</v>
      </c>
      <c r="C313" s="6">
        <v>51.21</v>
      </c>
      <c r="D313" s="5" t="s">
        <v>1825</v>
      </c>
      <c r="E313" s="5" t="s">
        <v>1826</v>
      </c>
      <c r="F313" s="11" t="s">
        <v>3</v>
      </c>
    </row>
    <row r="314" spans="1:6" x14ac:dyDescent="0.25">
      <c r="A314" s="5" t="s">
        <v>595</v>
      </c>
      <c r="B314" s="5" t="s">
        <v>7</v>
      </c>
      <c r="C314" s="6">
        <v>1878.86</v>
      </c>
      <c r="D314" s="5" t="s">
        <v>1827</v>
      </c>
      <c r="E314" s="5" t="s">
        <v>1828</v>
      </c>
      <c r="F314" s="11" t="s">
        <v>3</v>
      </c>
    </row>
    <row r="315" spans="1:6" x14ac:dyDescent="0.25">
      <c r="A315" s="5" t="s">
        <v>595</v>
      </c>
      <c r="B315" s="5" t="s">
        <v>7</v>
      </c>
      <c r="C315" s="6">
        <v>4746.89</v>
      </c>
      <c r="D315" s="5" t="s">
        <v>1827</v>
      </c>
      <c r="E315" s="5" t="s">
        <v>1829</v>
      </c>
      <c r="F315" s="11" t="s">
        <v>3</v>
      </c>
    </row>
    <row r="316" spans="1:6" x14ac:dyDescent="0.25">
      <c r="A316" s="5" t="s">
        <v>595</v>
      </c>
      <c r="B316" s="5" t="s">
        <v>8</v>
      </c>
      <c r="C316" s="6">
        <v>256.16</v>
      </c>
      <c r="D316" s="5" t="s">
        <v>1830</v>
      </c>
      <c r="E316" s="5" t="s">
        <v>1831</v>
      </c>
      <c r="F316" s="11" t="s">
        <v>3</v>
      </c>
    </row>
    <row r="317" spans="1:6" x14ac:dyDescent="0.25">
      <c r="A317" s="5" t="s">
        <v>595</v>
      </c>
      <c r="B317" s="5" t="s">
        <v>8</v>
      </c>
      <c r="C317" s="6">
        <v>5893.07</v>
      </c>
      <c r="D317" s="5" t="s">
        <v>1830</v>
      </c>
      <c r="E317" s="5" t="s">
        <v>1832</v>
      </c>
      <c r="F317" s="11" t="s">
        <v>3</v>
      </c>
    </row>
    <row r="318" spans="1:6" x14ac:dyDescent="0.25">
      <c r="A318" s="5" t="s">
        <v>595</v>
      </c>
      <c r="B318" s="5" t="s">
        <v>9</v>
      </c>
      <c r="C318" s="6">
        <v>4002.54</v>
      </c>
      <c r="D318" s="5" t="s">
        <v>1833</v>
      </c>
      <c r="E318" s="5" t="s">
        <v>1834</v>
      </c>
      <c r="F318" s="11" t="s">
        <v>3</v>
      </c>
    </row>
    <row r="319" spans="1:6" x14ac:dyDescent="0.25">
      <c r="A319" s="5" t="s">
        <v>563</v>
      </c>
      <c r="B319" s="5" t="s">
        <v>5</v>
      </c>
      <c r="C319" s="6">
        <v>374.13</v>
      </c>
      <c r="D319" s="5" t="s">
        <v>1835</v>
      </c>
      <c r="E319" s="5" t="s">
        <v>1836</v>
      </c>
      <c r="F319" s="11" t="s">
        <v>3</v>
      </c>
    </row>
    <row r="320" spans="1:6" x14ac:dyDescent="0.25">
      <c r="A320" s="5" t="s">
        <v>563</v>
      </c>
      <c r="B320" s="5" t="s">
        <v>9</v>
      </c>
      <c r="C320" s="6">
        <v>281.5</v>
      </c>
      <c r="D320" s="5" t="s">
        <v>1837</v>
      </c>
      <c r="E320" s="5" t="s">
        <v>1838</v>
      </c>
      <c r="F320" s="11" t="s">
        <v>3</v>
      </c>
    </row>
    <row r="321" spans="1:6" x14ac:dyDescent="0.25">
      <c r="A321" s="5" t="s">
        <v>846</v>
      </c>
      <c r="B321" s="5" t="s">
        <v>5</v>
      </c>
      <c r="C321" s="6">
        <v>3.85</v>
      </c>
      <c r="D321" s="5" t="s">
        <v>1839</v>
      </c>
      <c r="E321" s="5" t="s">
        <v>1840</v>
      </c>
      <c r="F321" s="11" t="s">
        <v>3</v>
      </c>
    </row>
    <row r="322" spans="1:6" x14ac:dyDescent="0.25">
      <c r="A322" s="5" t="s">
        <v>215</v>
      </c>
      <c r="B322" s="5" t="s">
        <v>4</v>
      </c>
      <c r="C322" s="6">
        <v>138.38</v>
      </c>
      <c r="D322" s="5" t="s">
        <v>1841</v>
      </c>
      <c r="E322" s="5" t="s">
        <v>1842</v>
      </c>
      <c r="F322" s="11" t="s">
        <v>3</v>
      </c>
    </row>
    <row r="323" spans="1:6" x14ac:dyDescent="0.25">
      <c r="A323" s="5" t="s">
        <v>551</v>
      </c>
      <c r="B323" s="5" t="s">
        <v>4</v>
      </c>
      <c r="C323" s="6">
        <v>3290.12</v>
      </c>
      <c r="D323" s="5" t="s">
        <v>1843</v>
      </c>
      <c r="E323" s="5" t="s">
        <v>1844</v>
      </c>
      <c r="F323" s="11" t="s">
        <v>3</v>
      </c>
    </row>
    <row r="324" spans="1:6" x14ac:dyDescent="0.25">
      <c r="A324" s="5" t="s">
        <v>800</v>
      </c>
      <c r="B324" s="5" t="s">
        <v>8</v>
      </c>
      <c r="C324" s="6">
        <v>100.33</v>
      </c>
      <c r="D324" s="5" t="s">
        <v>1845</v>
      </c>
      <c r="E324" s="5" t="s">
        <v>1846</v>
      </c>
      <c r="F324" s="11" t="s">
        <v>3</v>
      </c>
    </row>
    <row r="325" spans="1:6" x14ac:dyDescent="0.25">
      <c r="A325" s="5" t="s">
        <v>741</v>
      </c>
      <c r="B325" s="5" t="s">
        <v>6</v>
      </c>
      <c r="C325" s="6">
        <v>60.1</v>
      </c>
      <c r="D325" s="5" t="s">
        <v>1847</v>
      </c>
      <c r="E325" s="5" t="s">
        <v>1848</v>
      </c>
      <c r="F325" s="11" t="s">
        <v>3</v>
      </c>
    </row>
    <row r="326" spans="1:6" x14ac:dyDescent="0.25">
      <c r="A326" s="5" t="s">
        <v>741</v>
      </c>
      <c r="B326" s="5" t="s">
        <v>8</v>
      </c>
      <c r="C326" s="6">
        <v>150.58</v>
      </c>
      <c r="D326" s="5" t="s">
        <v>1849</v>
      </c>
      <c r="E326" s="5" t="s">
        <v>1850</v>
      </c>
      <c r="F326" s="11" t="s">
        <v>3</v>
      </c>
    </row>
    <row r="327" spans="1:6" x14ac:dyDescent="0.25">
      <c r="A327" s="5" t="s">
        <v>741</v>
      </c>
      <c r="B327" s="5" t="s">
        <v>9</v>
      </c>
      <c r="C327" s="6">
        <v>55.39</v>
      </c>
      <c r="D327" s="5" t="s">
        <v>1851</v>
      </c>
      <c r="E327" s="5" t="s">
        <v>1852</v>
      </c>
      <c r="F327" s="11" t="s">
        <v>3</v>
      </c>
    </row>
    <row r="328" spans="1:6" x14ac:dyDescent="0.25">
      <c r="A328" s="5" t="s">
        <v>554</v>
      </c>
      <c r="B328" s="5" t="s">
        <v>5</v>
      </c>
      <c r="C328" s="6">
        <v>1811.97</v>
      </c>
      <c r="D328" s="5" t="s">
        <v>1853</v>
      </c>
      <c r="E328" s="5" t="s">
        <v>1854</v>
      </c>
      <c r="F328" s="11" t="s">
        <v>3</v>
      </c>
    </row>
    <row r="329" spans="1:6" x14ac:dyDescent="0.25">
      <c r="A329" s="5" t="s">
        <v>543</v>
      </c>
      <c r="B329" s="5" t="s">
        <v>4</v>
      </c>
      <c r="C329" s="6">
        <v>591.3</v>
      </c>
      <c r="D329" s="5" t="s">
        <v>1855</v>
      </c>
      <c r="E329" s="5" t="s">
        <v>1856</v>
      </c>
      <c r="F329" s="11" t="s">
        <v>3</v>
      </c>
    </row>
    <row r="330" spans="1:6" x14ac:dyDescent="0.25">
      <c r="A330" s="5" t="s">
        <v>543</v>
      </c>
      <c r="B330" s="5" t="s">
        <v>5</v>
      </c>
      <c r="C330" s="6">
        <v>1686.88</v>
      </c>
      <c r="D330" s="5" t="s">
        <v>1857</v>
      </c>
      <c r="E330" s="5" t="s">
        <v>1858</v>
      </c>
      <c r="F330" s="11" t="s">
        <v>3</v>
      </c>
    </row>
    <row r="331" spans="1:6" x14ac:dyDescent="0.25">
      <c r="A331" s="5" t="s">
        <v>543</v>
      </c>
      <c r="B331" s="5" t="s">
        <v>9</v>
      </c>
      <c r="C331" s="6">
        <v>1200.8</v>
      </c>
      <c r="D331" s="5" t="s">
        <v>1859</v>
      </c>
      <c r="E331" s="5" t="s">
        <v>1860</v>
      </c>
      <c r="F331" s="11" t="s">
        <v>3</v>
      </c>
    </row>
    <row r="332" spans="1:6" x14ac:dyDescent="0.25">
      <c r="A332" s="5" t="s">
        <v>306</v>
      </c>
      <c r="B332" s="5" t="s">
        <v>7</v>
      </c>
      <c r="C332" s="6">
        <v>3887.49</v>
      </c>
      <c r="D332" s="5" t="s">
        <v>1861</v>
      </c>
      <c r="E332" s="5" t="s">
        <v>1862</v>
      </c>
      <c r="F332" s="11" t="s">
        <v>3</v>
      </c>
    </row>
    <row r="333" spans="1:6" x14ac:dyDescent="0.25">
      <c r="A333" s="5" t="s">
        <v>610</v>
      </c>
      <c r="B333" s="5" t="s">
        <v>5</v>
      </c>
      <c r="C333" s="6">
        <v>93.35</v>
      </c>
      <c r="D333" s="5" t="s">
        <v>1863</v>
      </c>
      <c r="E333" s="5" t="s">
        <v>1864</v>
      </c>
      <c r="F333" s="11" t="s">
        <v>3</v>
      </c>
    </row>
    <row r="334" spans="1:6" x14ac:dyDescent="0.25">
      <c r="A334" s="5" t="s">
        <v>855</v>
      </c>
      <c r="B334" s="5" t="s">
        <v>5</v>
      </c>
      <c r="C334" s="6">
        <v>600</v>
      </c>
      <c r="D334" s="5" t="s">
        <v>1865</v>
      </c>
      <c r="E334" s="5" t="s">
        <v>1866</v>
      </c>
      <c r="F334" s="11" t="s">
        <v>3</v>
      </c>
    </row>
    <row r="335" spans="1:6" x14ac:dyDescent="0.25">
      <c r="A335" s="5" t="s">
        <v>558</v>
      </c>
      <c r="B335" s="5" t="s">
        <v>5</v>
      </c>
      <c r="C335" s="6">
        <v>2948</v>
      </c>
      <c r="D335" s="5" t="s">
        <v>1867</v>
      </c>
      <c r="E335" s="5" t="s">
        <v>1868</v>
      </c>
      <c r="F335" s="11" t="s">
        <v>3</v>
      </c>
    </row>
    <row r="336" spans="1:6" x14ac:dyDescent="0.25">
      <c r="A336" s="5" t="s">
        <v>558</v>
      </c>
      <c r="B336" s="5" t="s">
        <v>6</v>
      </c>
      <c r="C336" s="6">
        <v>2948</v>
      </c>
      <c r="D336" s="5" t="s">
        <v>1867</v>
      </c>
      <c r="E336" s="5" t="s">
        <v>1868</v>
      </c>
      <c r="F336" s="11" t="s">
        <v>3</v>
      </c>
    </row>
    <row r="337" spans="1:6" x14ac:dyDescent="0.25">
      <c r="A337" s="5" t="s">
        <v>1046</v>
      </c>
      <c r="B337" s="5" t="s">
        <v>7</v>
      </c>
      <c r="C337" s="6">
        <v>57.88</v>
      </c>
      <c r="D337" s="5" t="s">
        <v>1869</v>
      </c>
      <c r="E337" s="5" t="s">
        <v>1870</v>
      </c>
      <c r="F337" s="11" t="s">
        <v>3</v>
      </c>
    </row>
    <row r="338" spans="1:6" x14ac:dyDescent="0.25">
      <c r="A338" s="5" t="s">
        <v>1046</v>
      </c>
      <c r="B338" s="5" t="s">
        <v>9</v>
      </c>
      <c r="C338" s="6">
        <v>169.11</v>
      </c>
      <c r="D338" s="5" t="s">
        <v>1871</v>
      </c>
      <c r="E338" s="5" t="s">
        <v>1872</v>
      </c>
      <c r="F338" s="11" t="s">
        <v>3</v>
      </c>
    </row>
    <row r="339" spans="1:6" x14ac:dyDescent="0.25">
      <c r="A339" s="5" t="s">
        <v>664</v>
      </c>
      <c r="B339" s="5" t="s">
        <v>4</v>
      </c>
      <c r="C339" s="6">
        <v>4147.7</v>
      </c>
      <c r="D339" s="5" t="s">
        <v>1873</v>
      </c>
      <c r="E339" s="5" t="s">
        <v>1874</v>
      </c>
      <c r="F339" s="11" t="s">
        <v>3</v>
      </c>
    </row>
    <row r="340" spans="1:6" x14ac:dyDescent="0.25">
      <c r="A340" s="5" t="s">
        <v>628</v>
      </c>
      <c r="B340" s="5" t="s">
        <v>4</v>
      </c>
      <c r="C340" s="6">
        <v>50.89</v>
      </c>
      <c r="D340" s="5" t="s">
        <v>1875</v>
      </c>
      <c r="E340" s="5" t="s">
        <v>1876</v>
      </c>
      <c r="F340" s="11" t="s">
        <v>3</v>
      </c>
    </row>
    <row r="341" spans="1:6" x14ac:dyDescent="0.25">
      <c r="A341" s="5" t="s">
        <v>659</v>
      </c>
      <c r="B341" s="5" t="s">
        <v>4</v>
      </c>
      <c r="C341" s="6">
        <v>150.1</v>
      </c>
      <c r="D341" s="5" t="s">
        <v>1877</v>
      </c>
      <c r="E341" s="5" t="s">
        <v>1878</v>
      </c>
      <c r="F341" s="11" t="s">
        <v>3</v>
      </c>
    </row>
    <row r="342" spans="1:6" x14ac:dyDescent="0.25">
      <c r="A342" s="5" t="s">
        <v>270</v>
      </c>
      <c r="B342" s="5" t="s">
        <v>6</v>
      </c>
      <c r="C342" s="6">
        <v>3920</v>
      </c>
      <c r="D342" s="5" t="s">
        <v>1879</v>
      </c>
      <c r="E342" s="5" t="s">
        <v>1880</v>
      </c>
      <c r="F342" s="11" t="s">
        <v>3</v>
      </c>
    </row>
    <row r="343" spans="1:6" x14ac:dyDescent="0.25">
      <c r="A343" s="5" t="s">
        <v>1222</v>
      </c>
      <c r="B343" s="5" t="s">
        <v>9</v>
      </c>
      <c r="C343" s="6">
        <v>100.56</v>
      </c>
      <c r="D343" s="5" t="s">
        <v>1881</v>
      </c>
      <c r="E343" s="5" t="s">
        <v>1882</v>
      </c>
      <c r="F343" s="11" t="s">
        <v>3</v>
      </c>
    </row>
    <row r="344" spans="1:6" x14ac:dyDescent="0.25">
      <c r="A344" s="24" t="s">
        <v>1883</v>
      </c>
      <c r="B344" s="24" t="s">
        <v>3</v>
      </c>
      <c r="C344" s="27">
        <v>95830.2</v>
      </c>
      <c r="D344" s="24" t="s">
        <v>3</v>
      </c>
      <c r="E344" s="24" t="s">
        <v>3</v>
      </c>
      <c r="F344" s="24" t="s">
        <v>3</v>
      </c>
    </row>
    <row r="346" ht="22" customHeight="1" spans="1:6" x14ac:dyDescent="0.25">
      <c r="A346" s="3" t="s">
        <v>1884</v>
      </c>
      <c r="B346" s="3"/>
      <c r="C346" s="3"/>
      <c r="D346" s="3"/>
      <c r="E346" s="3"/>
      <c r="F346" s="3"/>
    </row>
    <row r="347" ht="30" customHeight="1" spans="1:6" x14ac:dyDescent="0.25">
      <c r="A347" s="4" t="s">
        <v>34</v>
      </c>
      <c r="B347" s="4" t="s">
        <v>33</v>
      </c>
      <c r="C347" s="4" t="s">
        <v>38</v>
      </c>
      <c r="D347" s="4" t="s">
        <v>360</v>
      </c>
      <c r="E347" s="4" t="s">
        <v>1885</v>
      </c>
      <c r="F347" s="4" t="s">
        <v>1886</v>
      </c>
    </row>
    <row r="348" spans="1:6" x14ac:dyDescent="0.25">
      <c r="A348" s="5" t="s">
        <v>791</v>
      </c>
      <c r="B348" s="5" t="s">
        <v>5</v>
      </c>
      <c r="C348" s="6">
        <v>1500</v>
      </c>
      <c r="D348" s="5" t="s">
        <v>1887</v>
      </c>
      <c r="E348" s="11" t="s">
        <v>1888</v>
      </c>
      <c r="F348" s="5" t="s">
        <v>1889</v>
      </c>
    </row>
    <row r="349" spans="1:6" x14ac:dyDescent="0.25">
      <c r="A349" s="5" t="s">
        <v>1036</v>
      </c>
      <c r="B349" s="5" t="s">
        <v>6</v>
      </c>
      <c r="C349" s="6">
        <v>1500</v>
      </c>
      <c r="D349" s="5" t="s">
        <v>1887</v>
      </c>
      <c r="E349" s="11" t="s">
        <v>1888</v>
      </c>
      <c r="F349" s="5" t="s">
        <v>1889</v>
      </c>
    </row>
    <row r="350" spans="1:6" x14ac:dyDescent="0.25">
      <c r="A350" s="5" t="s">
        <v>1118</v>
      </c>
      <c r="B350" s="5" t="s">
        <v>7</v>
      </c>
      <c r="C350" s="6">
        <v>1500</v>
      </c>
      <c r="D350" s="5" t="s">
        <v>1887</v>
      </c>
      <c r="E350" s="11" t="s">
        <v>1888</v>
      </c>
      <c r="F350" s="5" t="s">
        <v>1889</v>
      </c>
    </row>
    <row r="351" spans="1:6" x14ac:dyDescent="0.25">
      <c r="A351" s="5" t="s">
        <v>1204</v>
      </c>
      <c r="B351" s="5" t="s">
        <v>8</v>
      </c>
      <c r="C351" s="6">
        <v>1500</v>
      </c>
      <c r="D351" s="5" t="s">
        <v>1887</v>
      </c>
      <c r="E351" s="11" t="s">
        <v>1888</v>
      </c>
      <c r="F351" s="5" t="s">
        <v>1889</v>
      </c>
    </row>
    <row r="352" spans="1:6" x14ac:dyDescent="0.25">
      <c r="A352" s="5" t="s">
        <v>1321</v>
      </c>
      <c r="B352" s="5" t="s">
        <v>9</v>
      </c>
      <c r="C352" s="6">
        <v>1500</v>
      </c>
      <c r="D352" s="5" t="s">
        <v>1887</v>
      </c>
      <c r="E352" s="11" t="s">
        <v>1888</v>
      </c>
      <c r="F352" s="5" t="s">
        <v>1889</v>
      </c>
    </row>
    <row r="353" spans="1:6" x14ac:dyDescent="0.25">
      <c r="A353" s="5" t="s">
        <v>577</v>
      </c>
      <c r="B353" s="5" t="s">
        <v>4</v>
      </c>
      <c r="C353" s="6">
        <v>1300</v>
      </c>
      <c r="D353" s="5" t="s">
        <v>1887</v>
      </c>
      <c r="E353" s="11" t="s">
        <v>1888</v>
      </c>
      <c r="F353" s="5" t="s">
        <v>1889</v>
      </c>
    </row>
    <row r="354" spans="1:6" x14ac:dyDescent="0.25">
      <c r="A354" s="5" t="s">
        <v>578</v>
      </c>
      <c r="B354" s="5" t="s">
        <v>4</v>
      </c>
      <c r="C354" s="6">
        <v>125</v>
      </c>
      <c r="D354" s="5" t="s">
        <v>1890</v>
      </c>
      <c r="E354" s="11" t="s">
        <v>1888</v>
      </c>
      <c r="F354" s="5" t="s">
        <v>1889</v>
      </c>
    </row>
    <row r="355" spans="1:6" x14ac:dyDescent="0.25">
      <c r="A355" s="5" t="s">
        <v>792</v>
      </c>
      <c r="B355" s="5" t="s">
        <v>5</v>
      </c>
      <c r="C355" s="6">
        <v>125</v>
      </c>
      <c r="D355" s="5" t="s">
        <v>1890</v>
      </c>
      <c r="E355" s="11" t="s">
        <v>1888</v>
      </c>
      <c r="F355" s="5" t="s">
        <v>1889</v>
      </c>
    </row>
    <row r="356" spans="1:6" x14ac:dyDescent="0.25">
      <c r="A356" s="5" t="s">
        <v>1037</v>
      </c>
      <c r="B356" s="5" t="s">
        <v>6</v>
      </c>
      <c r="C356" s="6">
        <v>125</v>
      </c>
      <c r="D356" s="5" t="s">
        <v>1890</v>
      </c>
      <c r="E356" s="11" t="s">
        <v>1888</v>
      </c>
      <c r="F356" s="5" t="s">
        <v>1889</v>
      </c>
    </row>
    <row r="357" spans="1:6" x14ac:dyDescent="0.25">
      <c r="A357" s="5" t="s">
        <v>1119</v>
      </c>
      <c r="B357" s="5" t="s">
        <v>7</v>
      </c>
      <c r="C357" s="6">
        <v>125</v>
      </c>
      <c r="D357" s="5" t="s">
        <v>1890</v>
      </c>
      <c r="E357" s="11" t="s">
        <v>1888</v>
      </c>
      <c r="F357" s="5" t="s">
        <v>1889</v>
      </c>
    </row>
    <row r="358" spans="1:6" x14ac:dyDescent="0.25">
      <c r="A358" s="5" t="s">
        <v>1205</v>
      </c>
      <c r="B358" s="5" t="s">
        <v>8</v>
      </c>
      <c r="C358" s="6">
        <v>125</v>
      </c>
      <c r="D358" s="5" t="s">
        <v>1890</v>
      </c>
      <c r="E358" s="11" t="s">
        <v>1888</v>
      </c>
      <c r="F358" s="5" t="s">
        <v>1889</v>
      </c>
    </row>
    <row r="359" spans="1:6" x14ac:dyDescent="0.25">
      <c r="A359" s="5" t="s">
        <v>1322</v>
      </c>
      <c r="B359" s="5" t="s">
        <v>9</v>
      </c>
      <c r="C359" s="6">
        <v>125</v>
      </c>
      <c r="D359" s="5" t="s">
        <v>1890</v>
      </c>
      <c r="E359" s="11" t="s">
        <v>1888</v>
      </c>
      <c r="F359" s="5" t="s">
        <v>1889</v>
      </c>
    </row>
    <row r="360" spans="1:6" x14ac:dyDescent="0.25">
      <c r="A360" s="5" t="s">
        <v>836</v>
      </c>
      <c r="B360" s="5" t="s">
        <v>5</v>
      </c>
      <c r="C360" s="6">
        <v>7199</v>
      </c>
      <c r="D360" s="5" t="s">
        <v>1891</v>
      </c>
      <c r="E360" s="11" t="s">
        <v>1892</v>
      </c>
      <c r="F360" s="5" t="s">
        <v>1893</v>
      </c>
    </row>
    <row r="361" spans="1:6" x14ac:dyDescent="0.25">
      <c r="A361" s="5" t="s">
        <v>837</v>
      </c>
      <c r="B361" s="5" t="s">
        <v>5</v>
      </c>
      <c r="C361" s="6">
        <v>7000</v>
      </c>
      <c r="D361" s="5" t="s">
        <v>1891</v>
      </c>
      <c r="E361" s="11" t="s">
        <v>1892</v>
      </c>
      <c r="F361" s="5" t="s">
        <v>1893</v>
      </c>
    </row>
    <row r="362" spans="1:6" x14ac:dyDescent="0.25">
      <c r="A362" s="5" t="s">
        <v>748</v>
      </c>
      <c r="B362" s="5" t="s">
        <v>7</v>
      </c>
      <c r="C362" s="6">
        <v>3560</v>
      </c>
      <c r="D362" s="5" t="s">
        <v>1894</v>
      </c>
      <c r="E362" s="11" t="s">
        <v>1892</v>
      </c>
      <c r="F362" s="5" t="s">
        <v>1893</v>
      </c>
    </row>
    <row r="363" spans="1:6" x14ac:dyDescent="0.25">
      <c r="A363" s="5" t="s">
        <v>858</v>
      </c>
      <c r="B363" s="5" t="s">
        <v>5</v>
      </c>
      <c r="C363" s="6">
        <v>2299.99</v>
      </c>
      <c r="D363" s="5" t="s">
        <v>1396</v>
      </c>
      <c r="E363" s="11" t="s">
        <v>1892</v>
      </c>
      <c r="F363" s="5" t="s">
        <v>1893</v>
      </c>
    </row>
    <row r="364" spans="1:6" x14ac:dyDescent="0.25">
      <c r="A364" s="5" t="s">
        <v>748</v>
      </c>
      <c r="B364" s="5" t="s">
        <v>6</v>
      </c>
      <c r="C364" s="6">
        <v>2180</v>
      </c>
      <c r="D364" s="5" t="s">
        <v>1894</v>
      </c>
      <c r="E364" s="11" t="s">
        <v>1892</v>
      </c>
      <c r="F364" s="5" t="s">
        <v>1893</v>
      </c>
    </row>
    <row r="365" spans="1:6" x14ac:dyDescent="0.25">
      <c r="A365" s="5" t="s">
        <v>1357</v>
      </c>
      <c r="B365" s="5" t="s">
        <v>9</v>
      </c>
      <c r="C365" s="6">
        <v>2129.7</v>
      </c>
      <c r="D365" s="5" t="s">
        <v>1895</v>
      </c>
      <c r="E365" s="11" t="s">
        <v>1892</v>
      </c>
      <c r="F365" s="5" t="s">
        <v>1893</v>
      </c>
    </row>
    <row r="366" spans="1:6" x14ac:dyDescent="0.25">
      <c r="A366" s="5" t="s">
        <v>863</v>
      </c>
      <c r="B366" s="5" t="s">
        <v>5</v>
      </c>
      <c r="C366" s="6">
        <v>2060</v>
      </c>
      <c r="D366" s="5" t="s">
        <v>1894</v>
      </c>
      <c r="E366" s="11" t="s">
        <v>1892</v>
      </c>
      <c r="F366" s="5" t="s">
        <v>1893</v>
      </c>
    </row>
    <row r="367" spans="1:6" x14ac:dyDescent="0.25">
      <c r="A367" s="5" t="s">
        <v>863</v>
      </c>
      <c r="B367" s="5" t="s">
        <v>8</v>
      </c>
      <c r="C367" s="6">
        <v>-2060</v>
      </c>
      <c r="D367" s="5" t="s">
        <v>1894</v>
      </c>
      <c r="E367" s="11" t="s">
        <v>1892</v>
      </c>
      <c r="F367" s="5" t="s">
        <v>1893</v>
      </c>
    </row>
    <row r="368" spans="1:6" x14ac:dyDescent="0.25">
      <c r="A368" s="5" t="s">
        <v>748</v>
      </c>
      <c r="B368" s="5" t="s">
        <v>5</v>
      </c>
      <c r="C368" s="6">
        <v>2000</v>
      </c>
      <c r="D368" s="5" t="s">
        <v>1894</v>
      </c>
      <c r="E368" s="11" t="s">
        <v>1892</v>
      </c>
      <c r="F368" s="5" t="s">
        <v>1893</v>
      </c>
    </row>
    <row r="369" spans="1:6" x14ac:dyDescent="0.25">
      <c r="A369" s="5" t="s">
        <v>1276</v>
      </c>
      <c r="B369" s="5" t="s">
        <v>8</v>
      </c>
      <c r="C369" s="6">
        <v>1500.01</v>
      </c>
      <c r="D369" s="5" t="s">
        <v>1896</v>
      </c>
      <c r="E369" s="11" t="s">
        <v>1892</v>
      </c>
      <c r="F369" s="5" t="s">
        <v>1893</v>
      </c>
    </row>
    <row r="370" spans="1:6" x14ac:dyDescent="0.25">
      <c r="A370" s="5" t="s">
        <v>1357</v>
      </c>
      <c r="B370" s="5" t="s">
        <v>9</v>
      </c>
      <c r="C370" s="6">
        <v>1419.8</v>
      </c>
      <c r="D370" s="5" t="s">
        <v>1895</v>
      </c>
      <c r="E370" s="11" t="s">
        <v>1892</v>
      </c>
      <c r="F370" s="5" t="s">
        <v>1893</v>
      </c>
    </row>
    <row r="371" spans="1:6" x14ac:dyDescent="0.25">
      <c r="A371" s="5" t="s">
        <v>862</v>
      </c>
      <c r="B371" s="5" t="s">
        <v>5</v>
      </c>
      <c r="C371" s="6">
        <v>1214.23</v>
      </c>
      <c r="D371" s="5" t="s">
        <v>1591</v>
      </c>
      <c r="E371" s="11" t="s">
        <v>1892</v>
      </c>
      <c r="F371" s="5" t="s">
        <v>1893</v>
      </c>
    </row>
    <row r="372" spans="1:6" x14ac:dyDescent="0.25">
      <c r="A372" s="5" t="s">
        <v>1243</v>
      </c>
      <c r="B372" s="5" t="s">
        <v>8</v>
      </c>
      <c r="C372" s="6">
        <v>876.73</v>
      </c>
      <c r="D372" s="5" t="s">
        <v>1891</v>
      </c>
      <c r="E372" s="11" t="s">
        <v>1892</v>
      </c>
      <c r="F372" s="5" t="s">
        <v>1893</v>
      </c>
    </row>
    <row r="373" spans="1:6" x14ac:dyDescent="0.25">
      <c r="A373" s="5" t="s">
        <v>842</v>
      </c>
      <c r="B373" s="5" t="s">
        <v>5</v>
      </c>
      <c r="C373" s="6">
        <v>638</v>
      </c>
      <c r="D373" s="5" t="s">
        <v>1891</v>
      </c>
      <c r="E373" s="11" t="s">
        <v>1892</v>
      </c>
      <c r="F373" s="5" t="s">
        <v>1893</v>
      </c>
    </row>
    <row r="374" spans="1:6" x14ac:dyDescent="0.25">
      <c r="A374" s="5" t="s">
        <v>1244</v>
      </c>
      <c r="B374" s="5" t="s">
        <v>8</v>
      </c>
      <c r="C374" s="6">
        <v>629.9</v>
      </c>
      <c r="D374" s="5" t="s">
        <v>1891</v>
      </c>
      <c r="E374" s="11" t="s">
        <v>1892</v>
      </c>
      <c r="F374" s="5" t="s">
        <v>1893</v>
      </c>
    </row>
    <row r="375" spans="1:6" x14ac:dyDescent="0.25">
      <c r="A375" s="5" t="s">
        <v>739</v>
      </c>
      <c r="B375" s="5" t="s">
        <v>4</v>
      </c>
      <c r="C375" s="6">
        <v>619.5</v>
      </c>
      <c r="D375" s="5" t="s">
        <v>1396</v>
      </c>
      <c r="E375" s="11" t="s">
        <v>1892</v>
      </c>
      <c r="F375" s="5" t="s">
        <v>1893</v>
      </c>
    </row>
    <row r="376" spans="1:6" x14ac:dyDescent="0.25">
      <c r="A376" s="5" t="s">
        <v>739</v>
      </c>
      <c r="B376" s="5" t="s">
        <v>5</v>
      </c>
      <c r="C376" s="6">
        <v>619.5</v>
      </c>
      <c r="D376" s="5" t="s">
        <v>1396</v>
      </c>
      <c r="E376" s="11" t="s">
        <v>1892</v>
      </c>
      <c r="F376" s="5" t="s">
        <v>1893</v>
      </c>
    </row>
    <row r="377" spans="1:6" x14ac:dyDescent="0.25">
      <c r="A377" s="5" t="s">
        <v>739</v>
      </c>
      <c r="B377" s="5" t="s">
        <v>6</v>
      </c>
      <c r="C377" s="6">
        <v>619.5</v>
      </c>
      <c r="D377" s="5" t="s">
        <v>1396</v>
      </c>
      <c r="E377" s="11" t="s">
        <v>1892</v>
      </c>
      <c r="F377" s="5" t="s">
        <v>1893</v>
      </c>
    </row>
    <row r="378" spans="1:6" x14ac:dyDescent="0.25">
      <c r="A378" s="5" t="s">
        <v>739</v>
      </c>
      <c r="B378" s="5" t="s">
        <v>7</v>
      </c>
      <c r="C378" s="6">
        <v>520.3</v>
      </c>
      <c r="D378" s="5" t="s">
        <v>1396</v>
      </c>
      <c r="E378" s="11" t="s">
        <v>1892</v>
      </c>
      <c r="F378" s="5" t="s">
        <v>1893</v>
      </c>
    </row>
    <row r="379" spans="1:6" x14ac:dyDescent="0.25">
      <c r="A379" s="5" t="s">
        <v>1077</v>
      </c>
      <c r="B379" s="5" t="s">
        <v>6</v>
      </c>
      <c r="C379" s="6">
        <v>404.74</v>
      </c>
      <c r="D379" s="5" t="s">
        <v>1541</v>
      </c>
      <c r="E379" s="11" t="s">
        <v>1892</v>
      </c>
      <c r="F379" s="5" t="s">
        <v>1893</v>
      </c>
    </row>
    <row r="380" spans="1:6" x14ac:dyDescent="0.25">
      <c r="A380" s="5" t="s">
        <v>1077</v>
      </c>
      <c r="B380" s="5" t="s">
        <v>8</v>
      </c>
      <c r="C380" s="6">
        <v>-404.74</v>
      </c>
      <c r="D380" s="5" t="s">
        <v>1541</v>
      </c>
      <c r="E380" s="11" t="s">
        <v>1892</v>
      </c>
      <c r="F380" s="5" t="s">
        <v>1893</v>
      </c>
    </row>
    <row r="381" spans="1:6" x14ac:dyDescent="0.25">
      <c r="A381" s="5" t="s">
        <v>950</v>
      </c>
      <c r="B381" s="5" t="s">
        <v>5</v>
      </c>
      <c r="C381" s="6">
        <v>307.51</v>
      </c>
      <c r="D381" s="5" t="s">
        <v>1577</v>
      </c>
      <c r="E381" s="11" t="s">
        <v>1892</v>
      </c>
      <c r="F381" s="5" t="s">
        <v>1893</v>
      </c>
    </row>
    <row r="382" spans="1:6" x14ac:dyDescent="0.25">
      <c r="A382" s="5" t="s">
        <v>1225</v>
      </c>
      <c r="B382" s="5" t="s">
        <v>8</v>
      </c>
      <c r="C382" s="6">
        <v>249</v>
      </c>
      <c r="D382" s="5" t="s">
        <v>1591</v>
      </c>
      <c r="E382" s="11" t="s">
        <v>1892</v>
      </c>
      <c r="F382" s="5" t="s">
        <v>1893</v>
      </c>
    </row>
    <row r="383" spans="1:6" x14ac:dyDescent="0.25">
      <c r="A383" s="5" t="s">
        <v>1245</v>
      </c>
      <c r="B383" s="5" t="s">
        <v>8</v>
      </c>
      <c r="C383" s="6">
        <v>185</v>
      </c>
      <c r="D383" s="5" t="s">
        <v>1891</v>
      </c>
      <c r="E383" s="11" t="s">
        <v>1892</v>
      </c>
      <c r="F383" s="5" t="s">
        <v>1893</v>
      </c>
    </row>
    <row r="384" spans="1:6" x14ac:dyDescent="0.25">
      <c r="A384" s="5" t="s">
        <v>1246</v>
      </c>
      <c r="B384" s="5" t="s">
        <v>8</v>
      </c>
      <c r="C384" s="6">
        <v>109.95</v>
      </c>
      <c r="D384" s="5" t="s">
        <v>1891</v>
      </c>
      <c r="E384" s="11" t="s">
        <v>1892</v>
      </c>
      <c r="F384" s="5" t="s">
        <v>1893</v>
      </c>
    </row>
    <row r="385" spans="1:6" x14ac:dyDescent="0.25">
      <c r="A385" s="5" t="s">
        <v>1148</v>
      </c>
      <c r="B385" s="5" t="s">
        <v>7</v>
      </c>
      <c r="C385" s="6">
        <v>97.18</v>
      </c>
      <c r="D385" s="5" t="s">
        <v>1897</v>
      </c>
      <c r="E385" s="11" t="s">
        <v>1892</v>
      </c>
      <c r="F385" s="5" t="s">
        <v>1893</v>
      </c>
    </row>
    <row r="386" spans="1:6" x14ac:dyDescent="0.25">
      <c r="A386" s="5" t="s">
        <v>861</v>
      </c>
      <c r="B386" s="5" t="s">
        <v>5</v>
      </c>
      <c r="C386" s="6">
        <v>89</v>
      </c>
      <c r="D386" s="5" t="s">
        <v>1396</v>
      </c>
      <c r="E386" s="11" t="s">
        <v>1892</v>
      </c>
      <c r="F386" s="5" t="s">
        <v>1893</v>
      </c>
    </row>
    <row r="387" spans="1:6" x14ac:dyDescent="0.25">
      <c r="A387" s="5" t="s">
        <v>1245</v>
      </c>
      <c r="B387" s="5" t="s">
        <v>8</v>
      </c>
      <c r="C387" s="6">
        <v>74</v>
      </c>
      <c r="D387" s="5" t="s">
        <v>1891</v>
      </c>
      <c r="E387" s="11" t="s">
        <v>1892</v>
      </c>
      <c r="F387" s="5" t="s">
        <v>1893</v>
      </c>
    </row>
    <row r="388" spans="1:6" x14ac:dyDescent="0.25">
      <c r="A388" s="5" t="s">
        <v>1074</v>
      </c>
      <c r="B388" s="5" t="s">
        <v>6</v>
      </c>
      <c r="C388" s="6">
        <v>47.36</v>
      </c>
      <c r="D388" s="5" t="s">
        <v>1897</v>
      </c>
      <c r="E388" s="11" t="s">
        <v>1892</v>
      </c>
      <c r="F388" s="5" t="s">
        <v>1893</v>
      </c>
    </row>
    <row r="389" spans="1:6" x14ac:dyDescent="0.25">
      <c r="A389" s="5" t="s">
        <v>739</v>
      </c>
      <c r="B389" s="5" t="s">
        <v>4</v>
      </c>
      <c r="C389" s="6">
        <v>31.5</v>
      </c>
      <c r="D389" s="5" t="s">
        <v>1396</v>
      </c>
      <c r="E389" s="11" t="s">
        <v>1892</v>
      </c>
      <c r="F389" s="5" t="s">
        <v>1893</v>
      </c>
    </row>
    <row r="390" spans="1:6" x14ac:dyDescent="0.25">
      <c r="A390" s="5" t="s">
        <v>739</v>
      </c>
      <c r="B390" s="5" t="s">
        <v>5</v>
      </c>
      <c r="C390" s="6">
        <v>31.5</v>
      </c>
      <c r="D390" s="5" t="s">
        <v>1396</v>
      </c>
      <c r="E390" s="11" t="s">
        <v>1892</v>
      </c>
      <c r="F390" s="5" t="s">
        <v>1893</v>
      </c>
    </row>
    <row r="391" spans="1:6" x14ac:dyDescent="0.25">
      <c r="A391" s="5" t="s">
        <v>739</v>
      </c>
      <c r="B391" s="5" t="s">
        <v>6</v>
      </c>
      <c r="C391" s="6">
        <v>31.5</v>
      </c>
      <c r="D391" s="5" t="s">
        <v>1396</v>
      </c>
      <c r="E391" s="11" t="s">
        <v>1892</v>
      </c>
      <c r="F391" s="5" t="s">
        <v>1893</v>
      </c>
    </row>
    <row r="392" spans="1:6" x14ac:dyDescent="0.25">
      <c r="A392" s="5" t="s">
        <v>739</v>
      </c>
      <c r="B392" s="5" t="s">
        <v>7</v>
      </c>
      <c r="C392" s="6">
        <v>26.38</v>
      </c>
      <c r="D392" s="5" t="s">
        <v>1396</v>
      </c>
      <c r="E392" s="11" t="s">
        <v>1892</v>
      </c>
      <c r="F392" s="5" t="s">
        <v>1893</v>
      </c>
    </row>
    <row r="393" spans="1:6" x14ac:dyDescent="0.25">
      <c r="A393" s="5" t="s">
        <v>1225</v>
      </c>
      <c r="B393" s="5" t="s">
        <v>8</v>
      </c>
      <c r="C393" s="6">
        <v>120</v>
      </c>
      <c r="D393" s="5" t="s">
        <v>1591</v>
      </c>
      <c r="E393" s="11" t="s">
        <v>1898</v>
      </c>
      <c r="F393" s="5" t="s">
        <v>1899</v>
      </c>
    </row>
    <row r="394" spans="1:6" x14ac:dyDescent="0.25">
      <c r="A394" s="5" t="s">
        <v>1225</v>
      </c>
      <c r="B394" s="5" t="s">
        <v>9</v>
      </c>
      <c r="C394" s="6">
        <v>120</v>
      </c>
      <c r="D394" s="5" t="s">
        <v>1591</v>
      </c>
      <c r="E394" s="11" t="s">
        <v>1898</v>
      </c>
      <c r="F394" s="5" t="s">
        <v>1899</v>
      </c>
    </row>
    <row r="395" spans="1:6" x14ac:dyDescent="0.25">
      <c r="A395" s="5" t="s">
        <v>1044</v>
      </c>
      <c r="B395" s="5" t="s">
        <v>6</v>
      </c>
      <c r="C395" s="6">
        <v>99</v>
      </c>
      <c r="D395" s="5" t="s">
        <v>1424</v>
      </c>
      <c r="E395" s="11" t="s">
        <v>1898</v>
      </c>
      <c r="F395" s="5" t="s">
        <v>1900</v>
      </c>
    </row>
    <row r="396" spans="1:6" x14ac:dyDescent="0.25">
      <c r="A396" s="5" t="s">
        <v>865</v>
      </c>
      <c r="B396" s="5" t="s">
        <v>5</v>
      </c>
      <c r="C396" s="6">
        <v>1000</v>
      </c>
      <c r="D396" s="5" t="s">
        <v>1896</v>
      </c>
      <c r="E396" s="11" t="s">
        <v>1901</v>
      </c>
      <c r="F396" s="5" t="s">
        <v>1902</v>
      </c>
    </row>
    <row r="397" spans="1:6" x14ac:dyDescent="0.25">
      <c r="A397" s="5" t="s">
        <v>1361</v>
      </c>
      <c r="B397" s="5" t="s">
        <v>9</v>
      </c>
      <c r="C397" s="6">
        <v>346.82</v>
      </c>
      <c r="D397" s="5" t="s">
        <v>1903</v>
      </c>
      <c r="E397" s="11" t="s">
        <v>1901</v>
      </c>
      <c r="F397" s="5" t="s">
        <v>1904</v>
      </c>
    </row>
    <row r="398" spans="1:6" x14ac:dyDescent="0.25">
      <c r="A398" s="5" t="s">
        <v>1073</v>
      </c>
      <c r="B398" s="5" t="s">
        <v>6</v>
      </c>
      <c r="C398" s="6">
        <v>193.3</v>
      </c>
      <c r="D398" s="5" t="s">
        <v>1897</v>
      </c>
      <c r="E398" s="11" t="s">
        <v>1901</v>
      </c>
      <c r="F398" s="5" t="s">
        <v>1905</v>
      </c>
    </row>
    <row r="399" spans="1:6" x14ac:dyDescent="0.25">
      <c r="A399" s="5" t="s">
        <v>1165</v>
      </c>
      <c r="B399" s="5" t="s">
        <v>9</v>
      </c>
      <c r="C399" s="6">
        <v>506.9</v>
      </c>
      <c r="D399" s="5" t="s">
        <v>1419</v>
      </c>
      <c r="E399" s="11" t="s">
        <v>1906</v>
      </c>
      <c r="F399" s="5" t="s">
        <v>1907</v>
      </c>
    </row>
    <row r="400" spans="1:6" x14ac:dyDescent="0.25">
      <c r="A400" s="5" t="s">
        <v>1165</v>
      </c>
      <c r="B400" s="5" t="s">
        <v>9</v>
      </c>
      <c r="C400" s="6">
        <v>486.35</v>
      </c>
      <c r="D400" s="5" t="s">
        <v>1419</v>
      </c>
      <c r="E400" s="11" t="s">
        <v>1906</v>
      </c>
      <c r="F400" s="5" t="s">
        <v>1907</v>
      </c>
    </row>
    <row r="401" spans="1:6" x14ac:dyDescent="0.25">
      <c r="A401" s="5" t="s">
        <v>1165</v>
      </c>
      <c r="B401" s="5" t="s">
        <v>9</v>
      </c>
      <c r="C401" s="6">
        <v>426.55</v>
      </c>
      <c r="D401" s="5" t="s">
        <v>1419</v>
      </c>
      <c r="E401" s="11" t="s">
        <v>1906</v>
      </c>
      <c r="F401" s="5" t="s">
        <v>1907</v>
      </c>
    </row>
    <row r="402" spans="1:6" x14ac:dyDescent="0.25">
      <c r="A402" s="5" t="s">
        <v>1165</v>
      </c>
      <c r="B402" s="5" t="s">
        <v>9</v>
      </c>
      <c r="C402" s="6">
        <v>425.75</v>
      </c>
      <c r="D402" s="5" t="s">
        <v>1419</v>
      </c>
      <c r="E402" s="11" t="s">
        <v>1906</v>
      </c>
      <c r="F402" s="5" t="s">
        <v>1907</v>
      </c>
    </row>
    <row r="403" spans="1:6" x14ac:dyDescent="0.25">
      <c r="A403" s="5" t="s">
        <v>1165</v>
      </c>
      <c r="B403" s="5" t="s">
        <v>9</v>
      </c>
      <c r="C403" s="6">
        <v>422.4</v>
      </c>
      <c r="D403" s="5" t="s">
        <v>1419</v>
      </c>
      <c r="E403" s="11" t="s">
        <v>1906</v>
      </c>
      <c r="F403" s="5" t="s">
        <v>1907</v>
      </c>
    </row>
    <row r="404" spans="1:6" x14ac:dyDescent="0.25">
      <c r="A404" s="24" t="s">
        <v>1908</v>
      </c>
      <c r="B404" s="24" t="s">
        <v>3</v>
      </c>
      <c r="C404" s="27">
        <v>50003.11</v>
      </c>
      <c r="D404" s="24" t="s">
        <v>3</v>
      </c>
      <c r="E404" s="24" t="s">
        <v>3</v>
      </c>
      <c r="F404" s="24" t="s">
        <v>3</v>
      </c>
    </row>
    <row r="405" spans="1:6" x14ac:dyDescent="0.25">
      <c r="A405" s="5" t="s">
        <v>463</v>
      </c>
      <c r="B405" s="5" t="s">
        <v>4</v>
      </c>
      <c r="C405" s="6">
        <v>9040</v>
      </c>
      <c r="D405" s="5" t="s">
        <v>1894</v>
      </c>
      <c r="E405" s="30" t="s">
        <v>1909</v>
      </c>
      <c r="F405" s="5" t="s">
        <v>1910</v>
      </c>
    </row>
    <row r="406" spans="1:6" x14ac:dyDescent="0.25">
      <c r="A406" s="5" t="s">
        <v>747</v>
      </c>
      <c r="B406" s="5" t="s">
        <v>6</v>
      </c>
      <c r="C406" s="6">
        <v>3600</v>
      </c>
      <c r="D406" s="5" t="s">
        <v>1894</v>
      </c>
      <c r="E406" s="30" t="s">
        <v>1909</v>
      </c>
      <c r="F406" s="5" t="s">
        <v>1911</v>
      </c>
    </row>
    <row r="407" spans="1:6" x14ac:dyDescent="0.25">
      <c r="A407" s="5" t="s">
        <v>747</v>
      </c>
      <c r="B407" s="5" t="s">
        <v>7</v>
      </c>
      <c r="C407" s="6">
        <v>3600</v>
      </c>
      <c r="D407" s="5" t="s">
        <v>1894</v>
      </c>
      <c r="E407" s="30" t="s">
        <v>1909</v>
      </c>
      <c r="F407" s="5" t="s">
        <v>1912</v>
      </c>
    </row>
    <row r="408" spans="1:6" x14ac:dyDescent="0.25">
      <c r="A408" s="5" t="s">
        <v>747</v>
      </c>
      <c r="B408" s="5" t="s">
        <v>8</v>
      </c>
      <c r="C408" s="6">
        <v>3600</v>
      </c>
      <c r="D408" s="5" t="s">
        <v>1894</v>
      </c>
      <c r="E408" s="30" t="s">
        <v>1909</v>
      </c>
      <c r="F408" s="5" t="s">
        <v>1913</v>
      </c>
    </row>
    <row r="409" spans="1:6" x14ac:dyDescent="0.25">
      <c r="A409" s="5" t="s">
        <v>747</v>
      </c>
      <c r="B409" s="5" t="s">
        <v>9</v>
      </c>
      <c r="C409" s="6">
        <v>3600</v>
      </c>
      <c r="D409" s="5" t="s">
        <v>1894</v>
      </c>
      <c r="E409" s="30" t="s">
        <v>1909</v>
      </c>
      <c r="F409" s="5" t="s">
        <v>1914</v>
      </c>
    </row>
    <row r="410" spans="1:6" x14ac:dyDescent="0.25">
      <c r="A410" s="5" t="s">
        <v>747</v>
      </c>
      <c r="B410" s="5" t="s">
        <v>4</v>
      </c>
      <c r="C410" s="6">
        <v>2700</v>
      </c>
      <c r="D410" s="5" t="s">
        <v>1894</v>
      </c>
      <c r="E410" s="30" t="s">
        <v>1909</v>
      </c>
      <c r="F410" s="5" t="s">
        <v>1915</v>
      </c>
    </row>
    <row r="411" spans="1:6" x14ac:dyDescent="0.25">
      <c r="A411" s="5" t="s">
        <v>747</v>
      </c>
      <c r="B411" s="5" t="s">
        <v>5</v>
      </c>
      <c r="C411" s="6">
        <v>2700</v>
      </c>
      <c r="D411" s="5" t="s">
        <v>1894</v>
      </c>
      <c r="E411" s="30" t="s">
        <v>1909</v>
      </c>
      <c r="F411" s="5" t="s">
        <v>1915</v>
      </c>
    </row>
    <row r="412" spans="1:6" x14ac:dyDescent="0.25">
      <c r="A412" s="5" t="s">
        <v>748</v>
      </c>
      <c r="B412" s="5" t="s">
        <v>4</v>
      </c>
      <c r="C412" s="6">
        <v>2060</v>
      </c>
      <c r="D412" s="5" t="s">
        <v>1894</v>
      </c>
      <c r="E412" s="30" t="s">
        <v>1909</v>
      </c>
      <c r="F412" s="5" t="s">
        <v>1916</v>
      </c>
    </row>
    <row r="413" spans="1:6" x14ac:dyDescent="0.25">
      <c r="A413" s="19" t="s">
        <v>1917</v>
      </c>
      <c r="B413" s="19" t="s">
        <v>3</v>
      </c>
      <c r="C413" s="20">
        <v>30900</v>
      </c>
      <c r="D413" s="19" t="s">
        <v>3</v>
      </c>
      <c r="E413" s="19" t="s">
        <v>3</v>
      </c>
      <c r="F413" s="19" t="s">
        <v>1918</v>
      </c>
    </row>
    <row r="415" ht="22" customHeight="1" spans="1:6" x14ac:dyDescent="0.25">
      <c r="A415" s="3" t="s">
        <v>1919</v>
      </c>
      <c r="B415" s="3"/>
      <c r="C415" s="3"/>
      <c r="D415" s="3"/>
      <c r="E415" s="3"/>
      <c r="F415" s="3"/>
    </row>
    <row r="416" ht="30" customHeight="1" spans="1:6" x14ac:dyDescent="0.25">
      <c r="A416" s="4" t="s">
        <v>1394</v>
      </c>
      <c r="B416" s="4" t="s">
        <v>33</v>
      </c>
      <c r="C416" s="4" t="s">
        <v>1920</v>
      </c>
      <c r="D416" s="4" t="s">
        <v>360</v>
      </c>
      <c r="E416" s="4" t="s">
        <v>1921</v>
      </c>
      <c r="F416" s="4" t="s">
        <v>1922</v>
      </c>
    </row>
    <row r="417" spans="1:6" x14ac:dyDescent="0.25">
      <c r="A417" s="5" t="s">
        <v>1572</v>
      </c>
      <c r="B417" s="5" t="s">
        <v>4</v>
      </c>
      <c r="C417" s="6">
        <v>39361.72</v>
      </c>
      <c r="D417" s="5" t="s">
        <v>1571</v>
      </c>
      <c r="E417" s="5" t="s">
        <v>1923</v>
      </c>
      <c r="F417" s="5" t="s">
        <v>1924</v>
      </c>
    </row>
    <row r="418" spans="1:6" x14ac:dyDescent="0.25">
      <c r="A418" s="5" t="s">
        <v>1572</v>
      </c>
      <c r="B418" s="5" t="s">
        <v>4</v>
      </c>
      <c r="C418" s="6">
        <v>1331.22</v>
      </c>
      <c r="D418" s="5" t="s">
        <v>1571</v>
      </c>
      <c r="E418" s="5" t="s">
        <v>1923</v>
      </c>
      <c r="F418" s="5" t="s">
        <v>1925</v>
      </c>
    </row>
    <row r="419" spans="1:6" x14ac:dyDescent="0.25">
      <c r="A419" s="5" t="s">
        <v>1926</v>
      </c>
      <c r="B419" s="5" t="s">
        <v>4</v>
      </c>
      <c r="C419" s="6">
        <v>8917.35</v>
      </c>
      <c r="D419" s="5" t="s">
        <v>1927</v>
      </c>
      <c r="E419" s="5" t="s">
        <v>1923</v>
      </c>
      <c r="F419" s="5" t="s">
        <v>1928</v>
      </c>
    </row>
    <row r="420" spans="1:6" x14ac:dyDescent="0.25">
      <c r="A420" s="5" t="s">
        <v>1929</v>
      </c>
      <c r="B420" s="5" t="s">
        <v>4</v>
      </c>
      <c r="C420" s="6">
        <v>2664.37</v>
      </c>
      <c r="D420" s="5" t="s">
        <v>1930</v>
      </c>
      <c r="E420" s="5" t="s">
        <v>1923</v>
      </c>
      <c r="F420" s="5" t="s">
        <v>1931</v>
      </c>
    </row>
    <row r="421" spans="1:6" x14ac:dyDescent="0.25">
      <c r="A421" s="5" t="s">
        <v>1929</v>
      </c>
      <c r="B421" s="5" t="s">
        <v>4</v>
      </c>
      <c r="C421" s="6">
        <v>488.81</v>
      </c>
      <c r="D421" s="5" t="s">
        <v>1930</v>
      </c>
      <c r="E421" s="5" t="s">
        <v>1923</v>
      </c>
      <c r="F421" s="5" t="s">
        <v>1932</v>
      </c>
    </row>
    <row r="422" spans="1:6" x14ac:dyDescent="0.25">
      <c r="A422" s="5" t="s">
        <v>1933</v>
      </c>
      <c r="B422" s="5" t="s">
        <v>4</v>
      </c>
      <c r="C422" s="6">
        <v>128.6</v>
      </c>
      <c r="D422" s="5" t="s">
        <v>1619</v>
      </c>
      <c r="E422" s="5" t="s">
        <v>1923</v>
      </c>
      <c r="F422" s="5" t="s">
        <v>1934</v>
      </c>
    </row>
    <row r="423" spans="1:6" x14ac:dyDescent="0.25">
      <c r="A423" s="5" t="s">
        <v>1933</v>
      </c>
      <c r="B423" s="5" t="s">
        <v>4</v>
      </c>
      <c r="C423" s="6">
        <v>158.79</v>
      </c>
      <c r="D423" s="5" t="s">
        <v>1619</v>
      </c>
      <c r="E423" s="5" t="s">
        <v>1923</v>
      </c>
      <c r="F423" s="5" t="s">
        <v>1935</v>
      </c>
    </row>
    <row r="424" spans="1:6" x14ac:dyDescent="0.25">
      <c r="A424" s="5" t="s">
        <v>1936</v>
      </c>
      <c r="B424" s="5" t="s">
        <v>4</v>
      </c>
      <c r="C424" s="6">
        <v>2897.29</v>
      </c>
      <c r="D424" s="5" t="s">
        <v>1937</v>
      </c>
      <c r="E424" s="5" t="s">
        <v>1923</v>
      </c>
      <c r="F424" s="5" t="s">
        <v>1938</v>
      </c>
    </row>
    <row r="425" spans="1:6" x14ac:dyDescent="0.25">
      <c r="A425" s="5" t="s">
        <v>1706</v>
      </c>
      <c r="B425" s="5" t="s">
        <v>4</v>
      </c>
      <c r="C425" s="6">
        <v>2200</v>
      </c>
      <c r="D425" s="5" t="s">
        <v>1705</v>
      </c>
      <c r="E425" s="5" t="s">
        <v>1923</v>
      </c>
      <c r="F425" s="5" t="s">
        <v>1939</v>
      </c>
    </row>
    <row r="426" spans="1:6" x14ac:dyDescent="0.25">
      <c r="A426" s="5" t="s">
        <v>1706</v>
      </c>
      <c r="B426" s="5" t="s">
        <v>4</v>
      </c>
      <c r="C426" s="6">
        <v>1550</v>
      </c>
      <c r="D426" s="5" t="s">
        <v>1705</v>
      </c>
      <c r="E426" s="5" t="s">
        <v>1923</v>
      </c>
      <c r="F426" s="5" t="s">
        <v>1940</v>
      </c>
    </row>
    <row r="427" spans="1:6" x14ac:dyDescent="0.25">
      <c r="A427" s="5" t="s">
        <v>1941</v>
      </c>
      <c r="B427" s="5" t="s">
        <v>4</v>
      </c>
      <c r="C427" s="6">
        <v>-473</v>
      </c>
      <c r="D427" s="5" t="s">
        <v>1942</v>
      </c>
      <c r="E427" s="5" t="s">
        <v>1943</v>
      </c>
      <c r="F427" s="5" t="s">
        <v>1944</v>
      </c>
    </row>
    <row r="428" spans="1:6" x14ac:dyDescent="0.25">
      <c r="A428" s="5" t="s">
        <v>1945</v>
      </c>
      <c r="B428" s="5" t="s">
        <v>4</v>
      </c>
      <c r="C428" s="6">
        <v>6362</v>
      </c>
      <c r="D428" s="5" t="s">
        <v>1946</v>
      </c>
      <c r="E428" s="5" t="s">
        <v>1923</v>
      </c>
      <c r="F428" s="5" t="s">
        <v>1947</v>
      </c>
    </row>
    <row r="429" spans="1:6" x14ac:dyDescent="0.25">
      <c r="A429" s="5" t="s">
        <v>1948</v>
      </c>
      <c r="B429" s="5" t="s">
        <v>4</v>
      </c>
      <c r="C429" s="6">
        <v>9500</v>
      </c>
      <c r="D429" s="5" t="s">
        <v>1949</v>
      </c>
      <c r="E429" s="5" t="s">
        <v>1923</v>
      </c>
      <c r="F429" s="5" t="s">
        <v>1950</v>
      </c>
    </row>
    <row r="430" spans="1:6" x14ac:dyDescent="0.25">
      <c r="A430" s="5" t="s">
        <v>1572</v>
      </c>
      <c r="B430" s="5" t="s">
        <v>5</v>
      </c>
      <c r="C430" s="6">
        <v>-39361.72</v>
      </c>
      <c r="D430" s="5" t="s">
        <v>1571</v>
      </c>
      <c r="E430" s="5" t="s">
        <v>1951</v>
      </c>
      <c r="F430" s="5" t="s">
        <v>1952</v>
      </c>
    </row>
    <row r="431" spans="1:6" x14ac:dyDescent="0.25">
      <c r="A431" s="5" t="s">
        <v>1926</v>
      </c>
      <c r="B431" s="5" t="s">
        <v>5</v>
      </c>
      <c r="C431" s="6">
        <v>6264.57</v>
      </c>
      <c r="D431" s="5" t="s">
        <v>1927</v>
      </c>
      <c r="E431" s="5" t="s">
        <v>1923</v>
      </c>
      <c r="F431" s="5" t="s">
        <v>1953</v>
      </c>
    </row>
    <row r="432" spans="1:6" x14ac:dyDescent="0.25">
      <c r="A432" s="5" t="s">
        <v>1926</v>
      </c>
      <c r="B432" s="5" t="s">
        <v>5</v>
      </c>
      <c r="C432" s="6">
        <v>11731.73</v>
      </c>
      <c r="D432" s="5" t="s">
        <v>1927</v>
      </c>
      <c r="E432" s="5" t="s">
        <v>1923</v>
      </c>
      <c r="F432" s="5" t="s">
        <v>1954</v>
      </c>
    </row>
    <row r="433" spans="1:6" x14ac:dyDescent="0.25">
      <c r="A433" s="5" t="s">
        <v>1558</v>
      </c>
      <c r="B433" s="5" t="s">
        <v>5</v>
      </c>
      <c r="C433" s="6">
        <v>-809.99</v>
      </c>
      <c r="D433" s="5" t="s">
        <v>1955</v>
      </c>
      <c r="E433" s="5" t="s">
        <v>1943</v>
      </c>
      <c r="F433" s="5" t="s">
        <v>1956</v>
      </c>
    </row>
    <row r="434" spans="1:6" x14ac:dyDescent="0.25">
      <c r="A434" s="5" t="s">
        <v>1929</v>
      </c>
      <c r="B434" s="5" t="s">
        <v>5</v>
      </c>
      <c r="C434" s="6">
        <v>-2664.37</v>
      </c>
      <c r="D434" s="5" t="s">
        <v>1930</v>
      </c>
      <c r="E434" s="5" t="s">
        <v>1951</v>
      </c>
      <c r="F434" s="5" t="s">
        <v>1957</v>
      </c>
    </row>
    <row r="435" spans="1:6" x14ac:dyDescent="0.25">
      <c r="A435" s="5" t="s">
        <v>1933</v>
      </c>
      <c r="B435" s="5" t="s">
        <v>5</v>
      </c>
      <c r="C435" s="6">
        <v>-128.6</v>
      </c>
      <c r="D435" s="5" t="s">
        <v>1619</v>
      </c>
      <c r="E435" s="5" t="s">
        <v>1951</v>
      </c>
      <c r="F435" s="5" t="s">
        <v>1958</v>
      </c>
    </row>
    <row r="436" spans="1:6" x14ac:dyDescent="0.25">
      <c r="A436" s="5" t="s">
        <v>1706</v>
      </c>
      <c r="B436" s="5" t="s">
        <v>5</v>
      </c>
      <c r="C436" s="6">
        <v>-2200</v>
      </c>
      <c r="D436" s="5" t="s">
        <v>1705</v>
      </c>
      <c r="E436" s="5" t="s">
        <v>1951</v>
      </c>
      <c r="F436" s="5" t="s">
        <v>1959</v>
      </c>
    </row>
    <row r="437" spans="1:6" x14ac:dyDescent="0.25">
      <c r="A437" s="5" t="s">
        <v>1941</v>
      </c>
      <c r="B437" s="5" t="s">
        <v>5</v>
      </c>
      <c r="C437" s="6">
        <v>473</v>
      </c>
      <c r="D437" s="5" t="s">
        <v>1942</v>
      </c>
      <c r="E437" s="5" t="s">
        <v>1923</v>
      </c>
      <c r="F437" s="5" t="s">
        <v>1960</v>
      </c>
    </row>
    <row r="438" spans="1:6" x14ac:dyDescent="0.25">
      <c r="A438" s="5" t="s">
        <v>1566</v>
      </c>
      <c r="B438" s="5" t="s">
        <v>5</v>
      </c>
      <c r="C438" s="6">
        <v>5020</v>
      </c>
      <c r="D438" s="5" t="s">
        <v>1961</v>
      </c>
      <c r="E438" s="5" t="s">
        <v>1923</v>
      </c>
      <c r="F438" s="5" t="s">
        <v>1962</v>
      </c>
    </row>
    <row r="439" spans="1:6" x14ac:dyDescent="0.25">
      <c r="A439" s="5" t="s">
        <v>1945</v>
      </c>
      <c r="B439" s="5" t="s">
        <v>5</v>
      </c>
      <c r="C439" s="6">
        <v>541.31</v>
      </c>
      <c r="D439" s="5" t="s">
        <v>1946</v>
      </c>
      <c r="E439" s="5" t="s">
        <v>1923</v>
      </c>
      <c r="F439" s="5" t="s">
        <v>1963</v>
      </c>
    </row>
    <row r="440" spans="1:6" x14ac:dyDescent="0.25">
      <c r="A440" s="5" t="s">
        <v>1964</v>
      </c>
      <c r="B440" s="5" t="s">
        <v>5</v>
      </c>
      <c r="C440" s="6">
        <v>173.84</v>
      </c>
      <c r="D440" s="5" t="s">
        <v>1965</v>
      </c>
      <c r="E440" s="5" t="s">
        <v>1923</v>
      </c>
      <c r="F440" s="5" t="s">
        <v>1966</v>
      </c>
    </row>
    <row r="441" spans="1:6" x14ac:dyDescent="0.25">
      <c r="A441" s="5" t="s">
        <v>1964</v>
      </c>
      <c r="B441" s="5" t="s">
        <v>5</v>
      </c>
      <c r="C441" s="6">
        <v>2314.16</v>
      </c>
      <c r="D441" s="5" t="s">
        <v>1965</v>
      </c>
      <c r="E441" s="5" t="s">
        <v>1923</v>
      </c>
      <c r="F441" s="5" t="s">
        <v>1967</v>
      </c>
    </row>
    <row r="442" spans="1:6" x14ac:dyDescent="0.25">
      <c r="A442" s="5" t="s">
        <v>1948</v>
      </c>
      <c r="B442" s="5" t="s">
        <v>5</v>
      </c>
      <c r="C442" s="6">
        <v>9499</v>
      </c>
      <c r="D442" s="5" t="s">
        <v>1949</v>
      </c>
      <c r="E442" s="5" t="s">
        <v>1923</v>
      </c>
      <c r="F442" s="5" t="s">
        <v>1968</v>
      </c>
    </row>
    <row r="443" spans="1:6" x14ac:dyDescent="0.25">
      <c r="A443" s="5" t="s">
        <v>1572</v>
      </c>
      <c r="B443" s="5" t="s">
        <v>6</v>
      </c>
      <c r="C443" s="6">
        <v>-557.36</v>
      </c>
      <c r="D443" s="5" t="s">
        <v>1571</v>
      </c>
      <c r="E443" s="5" t="s">
        <v>1943</v>
      </c>
      <c r="F443" s="5" t="s">
        <v>1969</v>
      </c>
    </row>
    <row r="444" spans="1:6" x14ac:dyDescent="0.25">
      <c r="A444" s="5" t="s">
        <v>1926</v>
      </c>
      <c r="B444" s="5" t="s">
        <v>6</v>
      </c>
      <c r="C444" s="6">
        <v>-6264.57</v>
      </c>
      <c r="D444" s="5" t="s">
        <v>1927</v>
      </c>
      <c r="E444" s="5" t="s">
        <v>1951</v>
      </c>
      <c r="F444" s="5" t="s">
        <v>1970</v>
      </c>
    </row>
    <row r="445" spans="1:6" x14ac:dyDescent="0.25">
      <c r="A445" s="5" t="s">
        <v>1558</v>
      </c>
      <c r="B445" s="5" t="s">
        <v>6</v>
      </c>
      <c r="C445" s="6">
        <v>809.99</v>
      </c>
      <c r="D445" s="5" t="s">
        <v>1955</v>
      </c>
      <c r="E445" s="5" t="s">
        <v>1923</v>
      </c>
      <c r="F445" s="5" t="s">
        <v>1971</v>
      </c>
    </row>
    <row r="446" spans="1:6" x14ac:dyDescent="0.25">
      <c r="A446" s="5" t="s">
        <v>1558</v>
      </c>
      <c r="B446" s="5" t="s">
        <v>6</v>
      </c>
      <c r="C446" s="6">
        <v>79.02</v>
      </c>
      <c r="D446" s="5" t="s">
        <v>1955</v>
      </c>
      <c r="E446" s="5" t="s">
        <v>1923</v>
      </c>
      <c r="F446" s="5" t="s">
        <v>1972</v>
      </c>
    </row>
    <row r="447" spans="1:6" x14ac:dyDescent="0.25">
      <c r="A447" s="5" t="s">
        <v>1929</v>
      </c>
      <c r="B447" s="5" t="s">
        <v>6</v>
      </c>
      <c r="C447" s="6">
        <v>568.11</v>
      </c>
      <c r="D447" s="5" t="s">
        <v>1930</v>
      </c>
      <c r="E447" s="5" t="s">
        <v>1923</v>
      </c>
      <c r="F447" s="5" t="s">
        <v>1973</v>
      </c>
    </row>
    <row r="448" spans="1:6" x14ac:dyDescent="0.25">
      <c r="A448" s="5" t="s">
        <v>1974</v>
      </c>
      <c r="B448" s="5" t="s">
        <v>6</v>
      </c>
      <c r="C448" s="6">
        <v>813.38</v>
      </c>
      <c r="D448" s="5" t="s">
        <v>1975</v>
      </c>
      <c r="E448" s="5" t="s">
        <v>1923</v>
      </c>
      <c r="F448" s="5" t="s">
        <v>1976</v>
      </c>
    </row>
    <row r="449" spans="1:6" x14ac:dyDescent="0.25">
      <c r="A449" s="5" t="s">
        <v>1933</v>
      </c>
      <c r="B449" s="5" t="s">
        <v>6</v>
      </c>
      <c r="C449" s="6">
        <v>2118.39</v>
      </c>
      <c r="D449" s="5" t="s">
        <v>1619</v>
      </c>
      <c r="E449" s="5" t="s">
        <v>1923</v>
      </c>
      <c r="F449" s="5" t="s">
        <v>1977</v>
      </c>
    </row>
    <row r="450" spans="1:6" x14ac:dyDescent="0.25">
      <c r="A450" s="5" t="s">
        <v>1706</v>
      </c>
      <c r="B450" s="5" t="s">
        <v>6</v>
      </c>
      <c r="C450" s="6">
        <v>590</v>
      </c>
      <c r="D450" s="5" t="s">
        <v>1705</v>
      </c>
      <c r="E450" s="5" t="s">
        <v>1923</v>
      </c>
      <c r="F450" s="5" t="s">
        <v>1978</v>
      </c>
    </row>
    <row r="451" spans="1:6" x14ac:dyDescent="0.25">
      <c r="A451" s="5" t="s">
        <v>1941</v>
      </c>
      <c r="B451" s="5" t="s">
        <v>6</v>
      </c>
      <c r="C451" s="6">
        <v>2524.5</v>
      </c>
      <c r="D451" s="5" t="s">
        <v>1942</v>
      </c>
      <c r="E451" s="5" t="s">
        <v>1923</v>
      </c>
      <c r="F451" s="5" t="s">
        <v>1979</v>
      </c>
    </row>
    <row r="452" spans="1:6" x14ac:dyDescent="0.25">
      <c r="A452" s="5" t="s">
        <v>1566</v>
      </c>
      <c r="B452" s="5" t="s">
        <v>6</v>
      </c>
      <c r="C452" s="6">
        <v>79.6</v>
      </c>
      <c r="D452" s="5" t="s">
        <v>1961</v>
      </c>
      <c r="E452" s="5" t="s">
        <v>1923</v>
      </c>
      <c r="F452" s="5" t="s">
        <v>1980</v>
      </c>
    </row>
    <row r="453" spans="1:6" x14ac:dyDescent="0.25">
      <c r="A453" s="5" t="s">
        <v>1945</v>
      </c>
      <c r="B453" s="5" t="s">
        <v>6</v>
      </c>
      <c r="C453" s="6">
        <v>6940.55</v>
      </c>
      <c r="D453" s="5" t="s">
        <v>1946</v>
      </c>
      <c r="E453" s="5" t="s">
        <v>1923</v>
      </c>
      <c r="F453" s="5" t="s">
        <v>1981</v>
      </c>
    </row>
    <row r="454" spans="1:6" x14ac:dyDescent="0.25">
      <c r="A454" s="5" t="s">
        <v>1964</v>
      </c>
      <c r="B454" s="5" t="s">
        <v>6</v>
      </c>
      <c r="C454" s="6">
        <v>-173.84</v>
      </c>
      <c r="D454" s="5" t="s">
        <v>1965</v>
      </c>
      <c r="E454" s="5" t="s">
        <v>1951</v>
      </c>
      <c r="F454" s="5" t="s">
        <v>1982</v>
      </c>
    </row>
    <row r="455" spans="1:6" x14ac:dyDescent="0.25">
      <c r="A455" s="5" t="s">
        <v>1948</v>
      </c>
      <c r="B455" s="5" t="s">
        <v>6</v>
      </c>
      <c r="C455" s="6">
        <v>4345</v>
      </c>
      <c r="D455" s="5" t="s">
        <v>1949</v>
      </c>
      <c r="E455" s="5" t="s">
        <v>1923</v>
      </c>
      <c r="F455" s="5" t="s">
        <v>1983</v>
      </c>
    </row>
    <row r="456" spans="1:6" x14ac:dyDescent="0.25">
      <c r="A456" s="5" t="s">
        <v>1572</v>
      </c>
      <c r="B456" s="5" t="s">
        <v>7</v>
      </c>
      <c r="C456" s="6">
        <v>557.36</v>
      </c>
      <c r="D456" s="5" t="s">
        <v>1571</v>
      </c>
      <c r="E456" s="5" t="s">
        <v>1923</v>
      </c>
      <c r="F456" s="5" t="s">
        <v>1984</v>
      </c>
    </row>
    <row r="457" spans="1:6" x14ac:dyDescent="0.25">
      <c r="A457" s="5" t="s">
        <v>1558</v>
      </c>
      <c r="B457" s="5" t="s">
        <v>7</v>
      </c>
      <c r="C457" s="6">
        <v>257.16</v>
      </c>
      <c r="D457" s="5" t="s">
        <v>1955</v>
      </c>
      <c r="E457" s="5" t="s">
        <v>1923</v>
      </c>
      <c r="F457" s="5" t="s">
        <v>1985</v>
      </c>
    </row>
    <row r="458" spans="1:6" x14ac:dyDescent="0.25">
      <c r="A458" s="5" t="s">
        <v>1929</v>
      </c>
      <c r="B458" s="5" t="s">
        <v>7</v>
      </c>
      <c r="C458" s="6">
        <v>2412.76</v>
      </c>
      <c r="D458" s="5" t="s">
        <v>1930</v>
      </c>
      <c r="E458" s="5" t="s">
        <v>1923</v>
      </c>
      <c r="F458" s="5" t="s">
        <v>1986</v>
      </c>
    </row>
    <row r="459" spans="1:6" x14ac:dyDescent="0.25">
      <c r="A459" s="5" t="s">
        <v>1554</v>
      </c>
      <c r="B459" s="5" t="s">
        <v>7</v>
      </c>
      <c r="C459" s="6">
        <v>-7712.87</v>
      </c>
      <c r="D459" s="5" t="s">
        <v>1987</v>
      </c>
      <c r="E459" s="5" t="s">
        <v>1943</v>
      </c>
      <c r="F459" s="5" t="s">
        <v>1988</v>
      </c>
    </row>
    <row r="460" spans="1:6" x14ac:dyDescent="0.25">
      <c r="A460" s="5" t="s">
        <v>1974</v>
      </c>
      <c r="B460" s="5" t="s">
        <v>7</v>
      </c>
      <c r="C460" s="6">
        <v>1063.7</v>
      </c>
      <c r="D460" s="5" t="s">
        <v>1975</v>
      </c>
      <c r="E460" s="5" t="s">
        <v>1923</v>
      </c>
      <c r="F460" s="5" t="s">
        <v>1989</v>
      </c>
    </row>
    <row r="461" spans="1:6" x14ac:dyDescent="0.25">
      <c r="A461" s="5" t="s">
        <v>1974</v>
      </c>
      <c r="B461" s="5" t="s">
        <v>7</v>
      </c>
      <c r="C461" s="6">
        <v>1029.27</v>
      </c>
      <c r="D461" s="5" t="s">
        <v>1975</v>
      </c>
      <c r="E461" s="5" t="s">
        <v>1923</v>
      </c>
      <c r="F461" s="5" t="s">
        <v>1990</v>
      </c>
    </row>
    <row r="462" spans="1:6" x14ac:dyDescent="0.25">
      <c r="A462" s="5" t="s">
        <v>1933</v>
      </c>
      <c r="B462" s="5" t="s">
        <v>7</v>
      </c>
      <c r="C462" s="6">
        <v>2050.49</v>
      </c>
      <c r="D462" s="5" t="s">
        <v>1619</v>
      </c>
      <c r="E462" s="5" t="s">
        <v>1923</v>
      </c>
      <c r="F462" s="5" t="s">
        <v>1991</v>
      </c>
    </row>
    <row r="463" spans="1:6" x14ac:dyDescent="0.25">
      <c r="A463" s="5" t="s">
        <v>1706</v>
      </c>
      <c r="B463" s="5" t="s">
        <v>7</v>
      </c>
      <c r="C463" s="6">
        <v>1431.42</v>
      </c>
      <c r="D463" s="5" t="s">
        <v>1705</v>
      </c>
      <c r="E463" s="5" t="s">
        <v>1923</v>
      </c>
      <c r="F463" s="5" t="s">
        <v>1992</v>
      </c>
    </row>
    <row r="464" spans="1:6" x14ac:dyDescent="0.25">
      <c r="A464" s="5" t="s">
        <v>1941</v>
      </c>
      <c r="B464" s="5" t="s">
        <v>7</v>
      </c>
      <c r="C464" s="6">
        <v>341.48</v>
      </c>
      <c r="D464" s="5" t="s">
        <v>1942</v>
      </c>
      <c r="E464" s="5" t="s">
        <v>1923</v>
      </c>
      <c r="F464" s="5" t="s">
        <v>1993</v>
      </c>
    </row>
    <row r="465" spans="1:6" x14ac:dyDescent="0.25">
      <c r="A465" s="5" t="s">
        <v>1566</v>
      </c>
      <c r="B465" s="5" t="s">
        <v>7</v>
      </c>
      <c r="C465" s="6">
        <v>373.41</v>
      </c>
      <c r="D465" s="5" t="s">
        <v>1961</v>
      </c>
      <c r="E465" s="5" t="s">
        <v>1923</v>
      </c>
      <c r="F465" s="5" t="s">
        <v>1994</v>
      </c>
    </row>
    <row r="466" spans="1:6" x14ac:dyDescent="0.25">
      <c r="A466" s="5" t="s">
        <v>1964</v>
      </c>
      <c r="B466" s="5" t="s">
        <v>7</v>
      </c>
      <c r="C466" s="6">
        <v>414</v>
      </c>
      <c r="D466" s="5" t="s">
        <v>1965</v>
      </c>
      <c r="E466" s="5" t="s">
        <v>1923</v>
      </c>
      <c r="F466" s="5" t="s">
        <v>1995</v>
      </c>
    </row>
    <row r="467" spans="1:6" x14ac:dyDescent="0.25">
      <c r="A467" s="5" t="s">
        <v>1948</v>
      </c>
      <c r="B467" s="5" t="s">
        <v>7</v>
      </c>
      <c r="C467" s="6">
        <v>183.45</v>
      </c>
      <c r="D467" s="5" t="s">
        <v>1949</v>
      </c>
      <c r="E467" s="5" t="s">
        <v>1923</v>
      </c>
      <c r="F467" s="5" t="s">
        <v>1996</v>
      </c>
    </row>
    <row r="468" spans="1:6" x14ac:dyDescent="0.25">
      <c r="A468" s="5" t="s">
        <v>1948</v>
      </c>
      <c r="B468" s="5" t="s">
        <v>7</v>
      </c>
      <c r="C468" s="6">
        <v>4297.55</v>
      </c>
      <c r="D468" s="5" t="s">
        <v>1949</v>
      </c>
      <c r="E468" s="5" t="s">
        <v>1923</v>
      </c>
      <c r="F468" s="5" t="s">
        <v>1997</v>
      </c>
    </row>
    <row r="469" spans="1:6" x14ac:dyDescent="0.25">
      <c r="A469" s="5" t="s">
        <v>1572</v>
      </c>
      <c r="B469" s="5" t="s">
        <v>8</v>
      </c>
      <c r="C469" s="6">
        <v>1319.78</v>
      </c>
      <c r="D469" s="5" t="s">
        <v>1571</v>
      </c>
      <c r="E469" s="5" t="s">
        <v>1923</v>
      </c>
      <c r="F469" s="5" t="s">
        <v>1998</v>
      </c>
    </row>
    <row r="470" spans="1:6" x14ac:dyDescent="0.25">
      <c r="A470" s="5" t="s">
        <v>1926</v>
      </c>
      <c r="B470" s="5" t="s">
        <v>8</v>
      </c>
      <c r="C470" s="6">
        <v>-2138.3</v>
      </c>
      <c r="D470" s="5" t="s">
        <v>1927</v>
      </c>
      <c r="E470" s="5" t="s">
        <v>1943</v>
      </c>
      <c r="F470" s="5" t="s">
        <v>1999</v>
      </c>
    </row>
    <row r="471" spans="1:6" x14ac:dyDescent="0.25">
      <c r="A471" s="5" t="s">
        <v>1929</v>
      </c>
      <c r="B471" s="5" t="s">
        <v>8</v>
      </c>
      <c r="C471" s="6">
        <v>690.41</v>
      </c>
      <c r="D471" s="5" t="s">
        <v>1930</v>
      </c>
      <c r="E471" s="5" t="s">
        <v>1923</v>
      </c>
      <c r="F471" s="5" t="s">
        <v>2000</v>
      </c>
    </row>
    <row r="472" spans="1:6" x14ac:dyDescent="0.25">
      <c r="A472" s="5" t="s">
        <v>1554</v>
      </c>
      <c r="B472" s="5" t="s">
        <v>8</v>
      </c>
      <c r="C472" s="6">
        <v>7712.87</v>
      </c>
      <c r="D472" s="5" t="s">
        <v>1987</v>
      </c>
      <c r="E472" s="5" t="s">
        <v>1923</v>
      </c>
      <c r="F472" s="5" t="s">
        <v>2001</v>
      </c>
    </row>
    <row r="473" spans="1:6" x14ac:dyDescent="0.25">
      <c r="A473" s="5" t="s">
        <v>1554</v>
      </c>
      <c r="B473" s="5" t="s">
        <v>8</v>
      </c>
      <c r="C473" s="6">
        <v>1165.06</v>
      </c>
      <c r="D473" s="5" t="s">
        <v>1987</v>
      </c>
      <c r="E473" s="5" t="s">
        <v>1923</v>
      </c>
      <c r="F473" s="5" t="s">
        <v>2002</v>
      </c>
    </row>
    <row r="474" spans="1:6" x14ac:dyDescent="0.25">
      <c r="A474" s="5" t="s">
        <v>1554</v>
      </c>
      <c r="B474" s="5" t="s">
        <v>8</v>
      </c>
      <c r="C474" s="6">
        <v>21336.62</v>
      </c>
      <c r="D474" s="5" t="s">
        <v>1987</v>
      </c>
      <c r="E474" s="5" t="s">
        <v>1923</v>
      </c>
      <c r="F474" s="5" t="s">
        <v>2003</v>
      </c>
    </row>
    <row r="475" spans="1:6" x14ac:dyDescent="0.25">
      <c r="A475" s="5" t="s">
        <v>1974</v>
      </c>
      <c r="B475" s="5" t="s">
        <v>8</v>
      </c>
      <c r="C475" s="6">
        <v>-1063.7</v>
      </c>
      <c r="D475" s="5" t="s">
        <v>1975</v>
      </c>
      <c r="E475" s="5" t="s">
        <v>1951</v>
      </c>
      <c r="F475" s="5" t="s">
        <v>2004</v>
      </c>
    </row>
    <row r="476" spans="1:6" x14ac:dyDescent="0.25">
      <c r="A476" s="5" t="s">
        <v>1933</v>
      </c>
      <c r="B476" s="5" t="s">
        <v>8</v>
      </c>
      <c r="C476" s="6">
        <v>193.89</v>
      </c>
      <c r="D476" s="5" t="s">
        <v>1619</v>
      </c>
      <c r="E476" s="5" t="s">
        <v>1923</v>
      </c>
      <c r="F476" s="5" t="s">
        <v>2005</v>
      </c>
    </row>
    <row r="477" spans="1:6" x14ac:dyDescent="0.25">
      <c r="A477" s="5" t="s">
        <v>1706</v>
      </c>
      <c r="B477" s="5" t="s">
        <v>8</v>
      </c>
      <c r="C477" s="6">
        <v>319.05</v>
      </c>
      <c r="D477" s="5" t="s">
        <v>1705</v>
      </c>
      <c r="E477" s="5" t="s">
        <v>1923</v>
      </c>
      <c r="F477" s="5" t="s">
        <v>2006</v>
      </c>
    </row>
    <row r="478" spans="1:6" x14ac:dyDescent="0.25">
      <c r="A478" s="5" t="s">
        <v>1941</v>
      </c>
      <c r="B478" s="5" t="s">
        <v>8</v>
      </c>
      <c r="C478" s="6">
        <v>1508</v>
      </c>
      <c r="D478" s="5" t="s">
        <v>1942</v>
      </c>
      <c r="E478" s="5" t="s">
        <v>1923</v>
      </c>
      <c r="F478" s="5" t="s">
        <v>2007</v>
      </c>
    </row>
    <row r="479" spans="1:6" x14ac:dyDescent="0.25">
      <c r="A479" s="5" t="s">
        <v>1566</v>
      </c>
      <c r="B479" s="5" t="s">
        <v>8</v>
      </c>
      <c r="C479" s="6">
        <v>-373.41</v>
      </c>
      <c r="D479" s="5" t="s">
        <v>1961</v>
      </c>
      <c r="E479" s="5" t="s">
        <v>1951</v>
      </c>
      <c r="F479" s="5" t="s">
        <v>2008</v>
      </c>
    </row>
    <row r="480" spans="1:6" x14ac:dyDescent="0.25">
      <c r="A480" s="5" t="s">
        <v>1566</v>
      </c>
      <c r="B480" s="5" t="s">
        <v>8</v>
      </c>
      <c r="C480" s="6">
        <v>-2120.33</v>
      </c>
      <c r="D480" s="5" t="s">
        <v>1961</v>
      </c>
      <c r="E480" s="5" t="s">
        <v>1943</v>
      </c>
      <c r="F480" s="5" t="s">
        <v>2009</v>
      </c>
    </row>
    <row r="481" spans="1:6" x14ac:dyDescent="0.25">
      <c r="A481" s="5" t="s">
        <v>1945</v>
      </c>
      <c r="B481" s="5" t="s">
        <v>8</v>
      </c>
      <c r="C481" s="6">
        <v>9489</v>
      </c>
      <c r="D481" s="5" t="s">
        <v>1946</v>
      </c>
      <c r="E481" s="5" t="s">
        <v>1923</v>
      </c>
      <c r="F481" s="5" t="s">
        <v>2010</v>
      </c>
    </row>
    <row r="482" spans="1:6" x14ac:dyDescent="0.25">
      <c r="A482" s="5" t="s">
        <v>1964</v>
      </c>
      <c r="B482" s="5" t="s">
        <v>8</v>
      </c>
      <c r="C482" s="6">
        <v>25541.14</v>
      </c>
      <c r="D482" s="5" t="s">
        <v>1965</v>
      </c>
      <c r="E482" s="5" t="s">
        <v>1923</v>
      </c>
      <c r="F482" s="5" t="s">
        <v>2011</v>
      </c>
    </row>
    <row r="483" spans="1:6" x14ac:dyDescent="0.25">
      <c r="A483" s="5" t="s">
        <v>1948</v>
      </c>
      <c r="B483" s="5" t="s">
        <v>8</v>
      </c>
      <c r="C483" s="6">
        <v>-183.45</v>
      </c>
      <c r="D483" s="5" t="s">
        <v>1949</v>
      </c>
      <c r="E483" s="5" t="s">
        <v>1951</v>
      </c>
      <c r="F483" s="5" t="s">
        <v>2012</v>
      </c>
    </row>
    <row r="484" spans="1:6" x14ac:dyDescent="0.25">
      <c r="A484" s="5" t="s">
        <v>1572</v>
      </c>
      <c r="B484" s="5" t="s">
        <v>9</v>
      </c>
      <c r="C484" s="6">
        <v>2011.2</v>
      </c>
      <c r="D484" s="5" t="s">
        <v>1571</v>
      </c>
      <c r="E484" s="5" t="s">
        <v>1923</v>
      </c>
      <c r="F484" s="5" t="s">
        <v>2013</v>
      </c>
    </row>
    <row r="485" spans="1:6" x14ac:dyDescent="0.25">
      <c r="A485" s="5" t="s">
        <v>1926</v>
      </c>
      <c r="B485" s="5" t="s">
        <v>9</v>
      </c>
      <c r="C485" s="6">
        <v>2138.3</v>
      </c>
      <c r="D485" s="5" t="s">
        <v>1927</v>
      </c>
      <c r="E485" s="5" t="s">
        <v>1923</v>
      </c>
      <c r="F485" s="5" t="s">
        <v>2014</v>
      </c>
    </row>
    <row r="486" spans="1:6" x14ac:dyDescent="0.25">
      <c r="A486" s="5" t="s">
        <v>1929</v>
      </c>
      <c r="B486" s="5" t="s">
        <v>9</v>
      </c>
      <c r="C486" s="6">
        <v>194.91</v>
      </c>
      <c r="D486" s="5" t="s">
        <v>1930</v>
      </c>
      <c r="E486" s="5" t="s">
        <v>1923</v>
      </c>
      <c r="F486" s="5" t="s">
        <v>2015</v>
      </c>
    </row>
    <row r="487" spans="1:6" x14ac:dyDescent="0.25">
      <c r="A487" s="5" t="s">
        <v>1554</v>
      </c>
      <c r="B487" s="5" t="s">
        <v>9</v>
      </c>
      <c r="C487" s="6">
        <v>-1165.06</v>
      </c>
      <c r="D487" s="5" t="s">
        <v>1987</v>
      </c>
      <c r="E487" s="5" t="s">
        <v>1951</v>
      </c>
      <c r="F487" s="5" t="s">
        <v>2016</v>
      </c>
    </row>
    <row r="488" spans="1:6" x14ac:dyDescent="0.25">
      <c r="A488" s="5" t="s">
        <v>1974</v>
      </c>
      <c r="B488" s="5" t="s">
        <v>9</v>
      </c>
      <c r="C488" s="6">
        <v>1429.54</v>
      </c>
      <c r="D488" s="5" t="s">
        <v>1975</v>
      </c>
      <c r="E488" s="5" t="s">
        <v>1923</v>
      </c>
      <c r="F488" s="5" t="s">
        <v>2017</v>
      </c>
    </row>
    <row r="489" spans="1:6" x14ac:dyDescent="0.25">
      <c r="A489" s="5" t="s">
        <v>1933</v>
      </c>
      <c r="B489" s="5" t="s">
        <v>9</v>
      </c>
      <c r="C489" s="6">
        <v>-193.89</v>
      </c>
      <c r="D489" s="5" t="s">
        <v>1619</v>
      </c>
      <c r="E489" s="5" t="s">
        <v>1951</v>
      </c>
      <c r="F489" s="5" t="s">
        <v>2018</v>
      </c>
    </row>
    <row r="490" spans="1:6" x14ac:dyDescent="0.25">
      <c r="A490" s="5" t="s">
        <v>1936</v>
      </c>
      <c r="B490" s="5" t="s">
        <v>9</v>
      </c>
      <c r="C490" s="6">
        <v>1632.29</v>
      </c>
      <c r="D490" s="5" t="s">
        <v>1937</v>
      </c>
      <c r="E490" s="5" t="s">
        <v>1923</v>
      </c>
      <c r="F490" s="5" t="s">
        <v>2019</v>
      </c>
    </row>
    <row r="491" spans="1:6" x14ac:dyDescent="0.25">
      <c r="A491" s="5" t="s">
        <v>1706</v>
      </c>
      <c r="B491" s="5" t="s">
        <v>9</v>
      </c>
      <c r="C491" s="6">
        <v>120</v>
      </c>
      <c r="D491" s="5" t="s">
        <v>1705</v>
      </c>
      <c r="E491" s="5" t="s">
        <v>1923</v>
      </c>
      <c r="F491" s="5" t="s">
        <v>2020</v>
      </c>
    </row>
    <row r="492" spans="1:6" x14ac:dyDescent="0.25">
      <c r="A492" s="5" t="s">
        <v>1941</v>
      </c>
      <c r="B492" s="5" t="s">
        <v>9</v>
      </c>
      <c r="C492" s="6">
        <v>6013</v>
      </c>
      <c r="D492" s="5" t="s">
        <v>1942</v>
      </c>
      <c r="E492" s="5" t="s">
        <v>1923</v>
      </c>
      <c r="F492" s="5" t="s">
        <v>2021</v>
      </c>
    </row>
    <row r="493" spans="1:6" x14ac:dyDescent="0.25">
      <c r="A493" s="5" t="s">
        <v>1566</v>
      </c>
      <c r="B493" s="5" t="s">
        <v>9</v>
      </c>
      <c r="C493" s="6">
        <v>2120.33</v>
      </c>
      <c r="D493" s="5" t="s">
        <v>1961</v>
      </c>
      <c r="E493" s="5" t="s">
        <v>1923</v>
      </c>
      <c r="F493" s="5" t="s">
        <v>2022</v>
      </c>
    </row>
    <row r="494" spans="1:6" x14ac:dyDescent="0.25">
      <c r="A494" s="5" t="s">
        <v>1566</v>
      </c>
      <c r="B494" s="5" t="s">
        <v>9</v>
      </c>
      <c r="C494" s="6">
        <v>2455.67</v>
      </c>
      <c r="D494" s="5" t="s">
        <v>1961</v>
      </c>
      <c r="E494" s="5" t="s">
        <v>1923</v>
      </c>
      <c r="F494" s="5" t="s">
        <v>2023</v>
      </c>
    </row>
    <row r="495" spans="1:6" x14ac:dyDescent="0.25">
      <c r="A495" s="5" t="s">
        <v>1945</v>
      </c>
      <c r="B495" s="5" t="s">
        <v>9</v>
      </c>
      <c r="C495" s="6">
        <v>3347</v>
      </c>
      <c r="D495" s="5" t="s">
        <v>1946</v>
      </c>
      <c r="E495" s="5" t="s">
        <v>1923</v>
      </c>
      <c r="F495" s="5" t="s">
        <v>2024</v>
      </c>
    </row>
    <row r="496" spans="1:6" x14ac:dyDescent="0.25">
      <c r="A496" s="5" t="s">
        <v>1964</v>
      </c>
      <c r="B496" s="5" t="s">
        <v>9</v>
      </c>
      <c r="C496" s="6">
        <v>1739</v>
      </c>
      <c r="D496" s="5" t="s">
        <v>1965</v>
      </c>
      <c r="E496" s="5" t="s">
        <v>1923</v>
      </c>
      <c r="F496" s="5" t="s">
        <v>2025</v>
      </c>
    </row>
    <row r="497" spans="1:6" x14ac:dyDescent="0.25">
      <c r="A497" s="5" t="s">
        <v>1948</v>
      </c>
      <c r="B497" s="5" t="s">
        <v>9</v>
      </c>
      <c r="C497" s="6">
        <v>558</v>
      </c>
      <c r="D497" s="5" t="s">
        <v>1949</v>
      </c>
      <c r="E497" s="5" t="s">
        <v>1923</v>
      </c>
      <c r="F497" s="5" t="s">
        <v>2026</v>
      </c>
    </row>
    <row r="498" spans="1:6" x14ac:dyDescent="0.25">
      <c r="A498" s="24" t="s">
        <v>2027</v>
      </c>
      <c r="B498" s="24" t="s">
        <v>3</v>
      </c>
      <c r="C498" s="27">
        <v>170308.95</v>
      </c>
      <c r="D498" s="24" t="s">
        <v>3</v>
      </c>
      <c r="E498" s="24" t="s">
        <v>3</v>
      </c>
      <c r="F498" s="24" t="s">
        <v>3</v>
      </c>
    </row>
    <row r="500" ht="22" customHeight="1" spans="1:6" x14ac:dyDescent="0.25">
      <c r="A500" s="3" t="s">
        <v>2028</v>
      </c>
      <c r="B500" s="3"/>
      <c r="C500" s="3"/>
      <c r="D500" s="3"/>
      <c r="E500" s="3"/>
      <c r="F500" s="3"/>
    </row>
    <row r="501" ht="30" customHeight="1" spans="1:6" x14ac:dyDescent="0.25">
      <c r="A501" s="4" t="s">
        <v>2029</v>
      </c>
      <c r="B501" s="4" t="s">
        <v>33</v>
      </c>
      <c r="C501" s="4" t="s">
        <v>38</v>
      </c>
      <c r="D501" s="4" t="s">
        <v>3</v>
      </c>
      <c r="E501" s="4" t="s">
        <v>3</v>
      </c>
      <c r="F501" s="4" t="s">
        <v>2030</v>
      </c>
    </row>
    <row r="502" spans="1:6" x14ac:dyDescent="0.25">
      <c r="A502" s="5" t="s">
        <v>2031</v>
      </c>
      <c r="B502" s="5" t="s">
        <v>9</v>
      </c>
      <c r="C502" s="6">
        <v>3774.19</v>
      </c>
      <c r="D502" s="5" t="s">
        <v>3</v>
      </c>
      <c r="E502" s="5" t="s">
        <v>3</v>
      </c>
      <c r="F502" s="5" t="s">
        <v>2032</v>
      </c>
    </row>
    <row r="503" spans="1:6" x14ac:dyDescent="0.25">
      <c r="A503" s="5" t="s">
        <v>2033</v>
      </c>
      <c r="B503" s="5" t="s">
        <v>9</v>
      </c>
      <c r="C503" s="6">
        <v>300</v>
      </c>
      <c r="D503" s="5" t="s">
        <v>3</v>
      </c>
      <c r="E503" s="5" t="s">
        <v>3</v>
      </c>
      <c r="F503" s="5" t="s">
        <v>2032</v>
      </c>
    </row>
    <row r="504" spans="1:6" x14ac:dyDescent="0.25">
      <c r="A504" s="5" t="s">
        <v>2034</v>
      </c>
      <c r="B504" s="5" t="s">
        <v>9</v>
      </c>
      <c r="C504" s="6">
        <v>10400</v>
      </c>
      <c r="D504" s="5" t="s">
        <v>3</v>
      </c>
      <c r="E504" s="5" t="s">
        <v>3</v>
      </c>
      <c r="F504" s="5" t="s">
        <v>2032</v>
      </c>
    </row>
    <row r="505" spans="1:6" x14ac:dyDescent="0.25">
      <c r="A505" s="5" t="s">
        <v>2035</v>
      </c>
      <c r="B505" s="5" t="s">
        <v>9</v>
      </c>
      <c r="C505" s="6">
        <v>6100</v>
      </c>
      <c r="D505" s="5" t="s">
        <v>3</v>
      </c>
      <c r="E505" s="5" t="s">
        <v>3</v>
      </c>
      <c r="F505" s="5" t="s">
        <v>2032</v>
      </c>
    </row>
    <row r="506" spans="1:6" x14ac:dyDescent="0.25">
      <c r="A506" s="5" t="s">
        <v>2036</v>
      </c>
      <c r="B506" s="5" t="s">
        <v>9</v>
      </c>
      <c r="C506" s="6">
        <v>14075.1</v>
      </c>
      <c r="D506" s="5" t="s">
        <v>3</v>
      </c>
      <c r="E506" s="5" t="s">
        <v>3</v>
      </c>
      <c r="F506" s="5" t="s">
        <v>2032</v>
      </c>
    </row>
    <row r="507" spans="1:6" x14ac:dyDescent="0.25">
      <c r="A507" s="5" t="s">
        <v>2037</v>
      </c>
      <c r="B507" s="5" t="s">
        <v>9</v>
      </c>
      <c r="C507" s="6">
        <v>13000</v>
      </c>
      <c r="D507" s="5" t="s">
        <v>3</v>
      </c>
      <c r="E507" s="5" t="s">
        <v>3</v>
      </c>
      <c r="F507" s="5" t="s">
        <v>2032</v>
      </c>
    </row>
    <row r="508" spans="1:6" x14ac:dyDescent="0.25">
      <c r="A508" s="5" t="s">
        <v>2038</v>
      </c>
      <c r="B508" s="5" t="s">
        <v>4</v>
      </c>
      <c r="C508" s="6">
        <v>-11636.53</v>
      </c>
      <c r="D508" s="5" t="s">
        <v>3</v>
      </c>
      <c r="E508" s="5" t="s">
        <v>3</v>
      </c>
      <c r="F508" s="5" t="s">
        <v>2039</v>
      </c>
    </row>
    <row r="509" spans="1:6" x14ac:dyDescent="0.25">
      <c r="A509" s="5" t="s">
        <v>2038</v>
      </c>
      <c r="B509" s="5" t="s">
        <v>5</v>
      </c>
      <c r="C509" s="6">
        <v>-9899.73</v>
      </c>
      <c r="D509" s="5" t="s">
        <v>3</v>
      </c>
      <c r="E509" s="5" t="s">
        <v>3</v>
      </c>
      <c r="F509" s="5" t="s">
        <v>2040</v>
      </c>
    </row>
    <row r="510" spans="1:6" x14ac:dyDescent="0.25">
      <c r="A510" s="5" t="s">
        <v>2038</v>
      </c>
      <c r="B510" s="5" t="s">
        <v>6</v>
      </c>
      <c r="C510" s="6">
        <v>-8821.13</v>
      </c>
      <c r="D510" s="5" t="s">
        <v>3</v>
      </c>
      <c r="E510" s="5" t="s">
        <v>3</v>
      </c>
      <c r="F510" s="5" t="s">
        <v>2041</v>
      </c>
    </row>
    <row r="511" spans="1:6" x14ac:dyDescent="0.25">
      <c r="A511" s="5" t="s">
        <v>2038</v>
      </c>
      <c r="B511" s="5" t="s">
        <v>7</v>
      </c>
      <c r="C511" s="6">
        <v>-8823.49</v>
      </c>
      <c r="D511" s="5" t="s">
        <v>3</v>
      </c>
      <c r="E511" s="5" t="s">
        <v>3</v>
      </c>
      <c r="F511" s="5" t="s">
        <v>2042</v>
      </c>
    </row>
    <row r="512" spans="1:6" x14ac:dyDescent="0.25">
      <c r="A512" s="5" t="s">
        <v>2038</v>
      </c>
      <c r="B512" s="5" t="s">
        <v>8</v>
      </c>
      <c r="C512" s="6">
        <v>-10026.17</v>
      </c>
      <c r="D512" s="5" t="s">
        <v>3</v>
      </c>
      <c r="E512" s="5" t="s">
        <v>3</v>
      </c>
      <c r="F512" s="5" t="s">
        <v>2043</v>
      </c>
    </row>
    <row r="513" spans="1:6" x14ac:dyDescent="0.25">
      <c r="A513" s="5" t="s">
        <v>2038</v>
      </c>
      <c r="B513" s="5" t="s">
        <v>9</v>
      </c>
      <c r="C513" s="6">
        <v>-10706.16</v>
      </c>
      <c r="D513" s="5" t="s">
        <v>3</v>
      </c>
      <c r="E513" s="5" t="s">
        <v>3</v>
      </c>
      <c r="F513" s="5" t="s">
        <v>2044</v>
      </c>
    </row>
    <row r="515" ht="22" customHeight="1" spans="1:6" x14ac:dyDescent="0.25">
      <c r="A515" s="3" t="s">
        <v>2045</v>
      </c>
      <c r="B515" s="3"/>
      <c r="C515" s="3"/>
      <c r="D515" s="3"/>
      <c r="E515" s="3"/>
      <c r="F515" s="3"/>
    </row>
    <row r="516" ht="30" customHeight="1" spans="1:6" x14ac:dyDescent="0.25">
      <c r="A516" s="4" t="s">
        <v>2046</v>
      </c>
      <c r="B516" s="4" t="s">
        <v>33</v>
      </c>
      <c r="C516" s="4" t="s">
        <v>38</v>
      </c>
      <c r="D516" s="4" t="s">
        <v>3</v>
      </c>
      <c r="E516" s="4" t="s">
        <v>2047</v>
      </c>
      <c r="F516" s="4" t="s">
        <v>2048</v>
      </c>
    </row>
    <row r="517" spans="1:6" x14ac:dyDescent="0.25">
      <c r="A517" s="5" t="s">
        <v>1400</v>
      </c>
      <c r="B517" s="5" t="s">
        <v>5</v>
      </c>
      <c r="C517" s="6">
        <v>-8743</v>
      </c>
      <c r="D517" s="5" t="s">
        <v>3</v>
      </c>
      <c r="E517" s="5" t="s">
        <v>2049</v>
      </c>
      <c r="F517" s="5" t="s">
        <v>2050</v>
      </c>
    </row>
    <row r="518" spans="1:6" x14ac:dyDescent="0.25">
      <c r="A518" s="5" t="s">
        <v>2051</v>
      </c>
      <c r="B518" s="5" t="s">
        <v>4</v>
      </c>
      <c r="C518" s="6">
        <v>-65490.8</v>
      </c>
      <c r="D518" s="5" t="s">
        <v>3</v>
      </c>
      <c r="E518" s="5" t="s">
        <v>2052</v>
      </c>
      <c r="F518" s="5" t="s">
        <v>2050</v>
      </c>
    </row>
    <row r="519" spans="1:6" x14ac:dyDescent="0.25">
      <c r="A519" s="5" t="s">
        <v>621</v>
      </c>
      <c r="B519" s="5" t="s">
        <v>5</v>
      </c>
      <c r="C519" s="6">
        <v>-32237</v>
      </c>
      <c r="D519" s="5" t="s">
        <v>3</v>
      </c>
      <c r="E519" s="5" t="s">
        <v>2053</v>
      </c>
      <c r="F519" s="5" t="s">
        <v>2050</v>
      </c>
    </row>
    <row r="520" spans="1:6" x14ac:dyDescent="0.25">
      <c r="A520" s="5" t="s">
        <v>1235</v>
      </c>
      <c r="B520" s="5" t="s">
        <v>9</v>
      </c>
      <c r="C520" s="6">
        <v>-119.12</v>
      </c>
      <c r="D520" s="5" t="s">
        <v>3</v>
      </c>
      <c r="E520" s="5" t="s">
        <v>2054</v>
      </c>
      <c r="F520" s="5" t="s">
        <v>2050</v>
      </c>
    </row>
    <row r="521" spans="1:6" x14ac:dyDescent="0.25">
      <c r="A521" s="5" t="s">
        <v>1351</v>
      </c>
      <c r="B521" s="5" t="s">
        <v>9</v>
      </c>
      <c r="C521" s="6">
        <v>-120</v>
      </c>
      <c r="D521" s="5" t="s">
        <v>3</v>
      </c>
      <c r="E521" s="5" t="s">
        <v>2055</v>
      </c>
      <c r="F521" s="5" t="s">
        <v>2050</v>
      </c>
    </row>
    <row r="522" spans="1:6" x14ac:dyDescent="0.25">
      <c r="A522" s="5" t="s">
        <v>875</v>
      </c>
      <c r="B522" s="5" t="s">
        <v>5</v>
      </c>
      <c r="C522" s="6">
        <v>-9500</v>
      </c>
      <c r="D522" s="5" t="s">
        <v>3</v>
      </c>
      <c r="E522" s="5" t="s">
        <v>2056</v>
      </c>
      <c r="F522" s="5" t="s">
        <v>2050</v>
      </c>
    </row>
    <row r="523" spans="1:6" x14ac:dyDescent="0.25">
      <c r="A523" s="5" t="s">
        <v>916</v>
      </c>
      <c r="B523" s="5" t="s">
        <v>8</v>
      </c>
      <c r="C523" s="6">
        <v>-10000</v>
      </c>
      <c r="D523" s="5" t="s">
        <v>3</v>
      </c>
      <c r="E523" s="5" t="s">
        <v>2057</v>
      </c>
      <c r="F523" s="5" t="s">
        <v>2050</v>
      </c>
    </row>
    <row r="524" spans="1:6" x14ac:dyDescent="0.25">
      <c r="A524" s="5" t="s">
        <v>1458</v>
      </c>
      <c r="B524" s="5" t="s">
        <v>4</v>
      </c>
      <c r="C524" s="6">
        <v>-29851</v>
      </c>
      <c r="D524" s="5" t="s">
        <v>3</v>
      </c>
      <c r="E524" s="5" t="s">
        <v>2058</v>
      </c>
      <c r="F524" s="5" t="s">
        <v>2050</v>
      </c>
    </row>
    <row r="525" spans="1:6" x14ac:dyDescent="0.25">
      <c r="A525" s="5" t="s">
        <v>1458</v>
      </c>
      <c r="B525" s="5" t="s">
        <v>6</v>
      </c>
      <c r="C525" s="6">
        <v>-7618.28</v>
      </c>
      <c r="D525" s="5" t="s">
        <v>3</v>
      </c>
      <c r="E525" s="5" t="s">
        <v>2059</v>
      </c>
      <c r="F525" s="5" t="s">
        <v>2050</v>
      </c>
    </row>
    <row r="526" spans="1:6" x14ac:dyDescent="0.25">
      <c r="A526" s="5" t="s">
        <v>782</v>
      </c>
      <c r="B526" s="5" t="s">
        <v>5</v>
      </c>
      <c r="C526" s="6">
        <v>-50000</v>
      </c>
      <c r="D526" s="5" t="s">
        <v>3</v>
      </c>
      <c r="E526" s="5" t="s">
        <v>2060</v>
      </c>
      <c r="F526" s="5" t="s">
        <v>2050</v>
      </c>
    </row>
    <row r="527" spans="1:6" x14ac:dyDescent="0.25">
      <c r="A527" s="5" t="s">
        <v>857</v>
      </c>
      <c r="B527" s="5" t="s">
        <v>6</v>
      </c>
      <c r="C527" s="6">
        <v>-7500</v>
      </c>
      <c r="D527" s="5" t="s">
        <v>3</v>
      </c>
      <c r="E527" s="5" t="s">
        <v>2061</v>
      </c>
      <c r="F527" s="5" t="s">
        <v>2050</v>
      </c>
    </row>
    <row r="528" spans="1:6" x14ac:dyDescent="0.25">
      <c r="A528" s="5" t="s">
        <v>1430</v>
      </c>
      <c r="B528" s="5" t="s">
        <v>4</v>
      </c>
      <c r="C528" s="6">
        <v>-33250</v>
      </c>
      <c r="D528" s="5" t="s">
        <v>3</v>
      </c>
      <c r="E528" s="5" t="s">
        <v>2062</v>
      </c>
      <c r="F528" s="5" t="s">
        <v>2050</v>
      </c>
    </row>
    <row r="529" spans="1:6" x14ac:dyDescent="0.25">
      <c r="A529" s="5" t="s">
        <v>1430</v>
      </c>
      <c r="B529" s="5" t="s">
        <v>8</v>
      </c>
      <c r="C529" s="6">
        <v>-19000</v>
      </c>
      <c r="D529" s="5" t="s">
        <v>3</v>
      </c>
      <c r="E529" s="5" t="s">
        <v>2063</v>
      </c>
      <c r="F529" s="5" t="s">
        <v>2050</v>
      </c>
    </row>
    <row r="530" spans="1:6" x14ac:dyDescent="0.25">
      <c r="A530" s="5" t="s">
        <v>1440</v>
      </c>
      <c r="B530" s="5" t="s">
        <v>8</v>
      </c>
      <c r="C530" s="6">
        <v>-17500</v>
      </c>
      <c r="D530" s="5" t="s">
        <v>3</v>
      </c>
      <c r="E530" s="5" t="s">
        <v>2064</v>
      </c>
      <c r="F530" s="5" t="s">
        <v>2050</v>
      </c>
    </row>
    <row r="531" spans="1:6" x14ac:dyDescent="0.25">
      <c r="A531" s="5" t="s">
        <v>1551</v>
      </c>
      <c r="B531" s="5" t="s">
        <v>8</v>
      </c>
      <c r="C531" s="6">
        <v>-520</v>
      </c>
      <c r="D531" s="5" t="s">
        <v>3</v>
      </c>
      <c r="E531" s="5" t="s">
        <v>2065</v>
      </c>
      <c r="F531" s="5" t="s">
        <v>2050</v>
      </c>
    </row>
    <row r="532" spans="1:6" x14ac:dyDescent="0.25">
      <c r="A532" s="5" t="s">
        <v>1551</v>
      </c>
      <c r="B532" s="5" t="s">
        <v>8</v>
      </c>
      <c r="C532" s="6">
        <v>-520</v>
      </c>
      <c r="D532" s="5" t="s">
        <v>3</v>
      </c>
      <c r="E532" s="5" t="s">
        <v>2065</v>
      </c>
      <c r="F532" s="5" t="s">
        <v>2050</v>
      </c>
    </row>
    <row r="533" spans="1:6" x14ac:dyDescent="0.25">
      <c r="A533" s="5" t="s">
        <v>2066</v>
      </c>
      <c r="B533" s="5" t="s">
        <v>9</v>
      </c>
      <c r="C533" s="6">
        <v>-26000</v>
      </c>
      <c r="D533" s="5" t="s">
        <v>3</v>
      </c>
      <c r="E533" s="5" t="s">
        <v>2067</v>
      </c>
      <c r="F533" s="5" t="s">
        <v>2050</v>
      </c>
    </row>
    <row r="534" spans="1:6" x14ac:dyDescent="0.25">
      <c r="A534" s="5" t="s">
        <v>2068</v>
      </c>
      <c r="B534" s="5" t="s">
        <v>5</v>
      </c>
      <c r="C534" s="6">
        <v>-1797</v>
      </c>
      <c r="D534" s="5" t="s">
        <v>3</v>
      </c>
      <c r="E534" s="5" t="s">
        <v>2069</v>
      </c>
      <c r="F534" s="5" t="s">
        <v>2050</v>
      </c>
    </row>
    <row r="535" spans="1:6" x14ac:dyDescent="0.25">
      <c r="A535" s="5" t="s">
        <v>2068</v>
      </c>
      <c r="B535" s="5" t="s">
        <v>9</v>
      </c>
      <c r="C535" s="6">
        <v>-1874</v>
      </c>
      <c r="D535" s="5" t="s">
        <v>3</v>
      </c>
      <c r="E535" s="5" t="s">
        <v>2070</v>
      </c>
      <c r="F535" s="5" t="s">
        <v>2050</v>
      </c>
    </row>
  </sheetData>
  <mergeCells count="11">
    <mergeCell ref="A1:F1"/>
    <mergeCell ref="A2:F2"/>
    <mergeCell ref="A4:F4"/>
    <mergeCell ref="A247:F247"/>
    <mergeCell ref="A256:F256"/>
    <mergeCell ref="A258:F258"/>
    <mergeCell ref="A277:F277"/>
    <mergeCell ref="A346:F346"/>
    <mergeCell ref="A415:F415"/>
    <mergeCell ref="A500:F500"/>
    <mergeCell ref="A515:F5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7" customWidth="1"/>
    <col min="3" max="3" width="38" customWidth="1"/>
    <col min="4" max="4" width="16" customWidth="1"/>
    <col min="5" max="5" width="14" customWidth="1"/>
    <col min="6" max="6" width="34" customWidth="1"/>
    <col min="7" max="7" width="60" customWidth="1"/>
    <col min="8" max="10" width="16" customWidth="1"/>
    <col min="11" max="11" width="40" customWidth="1"/>
  </cols>
  <sheetData>
    <row r="1" ht="26" customHeight="1" spans="1:11" x14ac:dyDescent="0.25">
      <c r="A1" s="1" t="s">
        <v>2071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45" customHeight="1" spans="1:11" x14ac:dyDescent="0.25">
      <c r="A2" s="2" t="s">
        <v>2072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30" customHeight="1" spans="1:11" x14ac:dyDescent="0.25">
      <c r="A4" s="4" t="s">
        <v>32</v>
      </c>
      <c r="B4" s="4" t="s">
        <v>33</v>
      </c>
      <c r="C4" s="4" t="s">
        <v>34</v>
      </c>
      <c r="D4" s="4" t="s">
        <v>2073</v>
      </c>
      <c r="E4" s="4" t="s">
        <v>38</v>
      </c>
      <c r="F4" s="4" t="s">
        <v>360</v>
      </c>
      <c r="G4" s="4" t="s">
        <v>2074</v>
      </c>
      <c r="H4" s="4" t="s">
        <v>2075</v>
      </c>
      <c r="I4" s="4" t="s">
        <v>2076</v>
      </c>
      <c r="J4" s="4" t="s">
        <v>2077</v>
      </c>
      <c r="K4" s="4" t="s">
        <v>498</v>
      </c>
    </row>
    <row r="5" spans="1:11" x14ac:dyDescent="0.25">
      <c r="A5" s="5">
        <v>1</v>
      </c>
      <c r="B5" s="5" t="s">
        <v>4</v>
      </c>
      <c r="C5" s="5" t="s">
        <v>666</v>
      </c>
      <c r="D5" s="5" t="s">
        <v>2078</v>
      </c>
      <c r="E5" s="6">
        <v>19289.18</v>
      </c>
      <c r="F5" s="5" t="s">
        <v>2079</v>
      </c>
      <c r="G5" s="5" t="s">
        <v>2080</v>
      </c>
      <c r="H5" s="6">
        <v>10171.18</v>
      </c>
      <c r="I5" s="11" t="s">
        <v>3</v>
      </c>
      <c r="J5" s="11" t="s">
        <v>3</v>
      </c>
      <c r="K5" s="5" t="s">
        <v>3</v>
      </c>
    </row>
    <row r="6" spans="1:11" x14ac:dyDescent="0.25">
      <c r="A6" s="5">
        <v>2</v>
      </c>
      <c r="B6" s="5" t="s">
        <v>4</v>
      </c>
      <c r="C6" s="5" t="s">
        <v>653</v>
      </c>
      <c r="D6" s="5" t="s">
        <v>588</v>
      </c>
      <c r="E6" s="6">
        <v>3800</v>
      </c>
      <c r="F6" s="5" t="s">
        <v>1987</v>
      </c>
      <c r="G6" s="5" t="s">
        <v>2081</v>
      </c>
      <c r="H6" s="6">
        <v>6689.46</v>
      </c>
      <c r="I6" s="11" t="s">
        <v>3</v>
      </c>
      <c r="J6" s="11" t="s">
        <v>3</v>
      </c>
      <c r="K6" s="5" t="s">
        <v>3</v>
      </c>
    </row>
    <row r="7" spans="1:11" x14ac:dyDescent="0.25">
      <c r="A7" s="5">
        <v>3</v>
      </c>
      <c r="B7" s="5" t="s">
        <v>4</v>
      </c>
      <c r="C7" s="5" t="s">
        <v>750</v>
      </c>
      <c r="D7" s="5" t="s">
        <v>119</v>
      </c>
      <c r="E7" s="6">
        <v>1467.01</v>
      </c>
      <c r="F7" s="5" t="s">
        <v>2082</v>
      </c>
      <c r="G7" s="5" t="s">
        <v>2083</v>
      </c>
      <c r="H7" s="6">
        <v>6689.46</v>
      </c>
      <c r="I7" s="11" t="s">
        <v>3</v>
      </c>
      <c r="J7" s="11" t="s">
        <v>3</v>
      </c>
      <c r="K7" s="5" t="s">
        <v>3</v>
      </c>
    </row>
    <row r="8" spans="1:11" x14ac:dyDescent="0.25">
      <c r="A8" s="5">
        <v>4</v>
      </c>
      <c r="B8" s="5" t="s">
        <v>4</v>
      </c>
      <c r="C8" s="5" t="s">
        <v>751</v>
      </c>
      <c r="D8" s="5" t="s">
        <v>2084</v>
      </c>
      <c r="E8" s="6">
        <v>38.49</v>
      </c>
      <c r="F8" s="5" t="s">
        <v>2082</v>
      </c>
      <c r="G8" s="5" t="s">
        <v>2085</v>
      </c>
      <c r="H8" s="6">
        <v>6689.46</v>
      </c>
      <c r="I8" s="11" t="s">
        <v>3</v>
      </c>
      <c r="J8" s="11" t="s">
        <v>3</v>
      </c>
      <c r="K8" s="5" t="s">
        <v>3</v>
      </c>
    </row>
    <row r="9" spans="1:11" x14ac:dyDescent="0.25">
      <c r="A9" s="5">
        <v>5</v>
      </c>
      <c r="B9" s="5" t="s">
        <v>4</v>
      </c>
      <c r="C9" s="5" t="s">
        <v>757</v>
      </c>
      <c r="D9" s="5" t="s">
        <v>2086</v>
      </c>
      <c r="E9" s="6">
        <v>235.56</v>
      </c>
      <c r="F9" s="5" t="s">
        <v>1553</v>
      </c>
      <c r="G9" s="5" t="s">
        <v>2087</v>
      </c>
      <c r="H9" s="6">
        <v>6689.46</v>
      </c>
      <c r="I9" s="11" t="s">
        <v>3</v>
      </c>
      <c r="J9" s="11" t="s">
        <v>3</v>
      </c>
      <c r="K9" s="5" t="s">
        <v>3</v>
      </c>
    </row>
    <row r="10" spans="1:11" x14ac:dyDescent="0.25">
      <c r="A10" s="5">
        <v>6</v>
      </c>
      <c r="B10" s="5" t="s">
        <v>4</v>
      </c>
      <c r="C10" s="5" t="s">
        <v>42</v>
      </c>
      <c r="D10" s="5" t="s">
        <v>2088</v>
      </c>
      <c r="E10" s="6">
        <v>267</v>
      </c>
      <c r="F10" s="5" t="s">
        <v>1553</v>
      </c>
      <c r="G10" s="5" t="s">
        <v>2089</v>
      </c>
      <c r="H10" s="6">
        <v>6689.46</v>
      </c>
      <c r="I10" s="11" t="s">
        <v>3</v>
      </c>
      <c r="J10" s="11" t="s">
        <v>3</v>
      </c>
      <c r="K10" s="5" t="s">
        <v>3</v>
      </c>
    </row>
    <row r="11" spans="1:11" x14ac:dyDescent="0.25">
      <c r="A11" s="5">
        <v>7</v>
      </c>
      <c r="B11" s="5" t="s">
        <v>4</v>
      </c>
      <c r="C11" s="5" t="s">
        <v>755</v>
      </c>
      <c r="D11" s="5" t="s">
        <v>2090</v>
      </c>
      <c r="E11" s="6">
        <v>881.4</v>
      </c>
      <c r="F11" s="5" t="s">
        <v>1553</v>
      </c>
      <c r="G11" s="5" t="s">
        <v>2091</v>
      </c>
      <c r="H11" s="6">
        <v>6689.46</v>
      </c>
      <c r="I11" s="11" t="s">
        <v>3</v>
      </c>
      <c r="J11" s="11" t="s">
        <v>3</v>
      </c>
      <c r="K11" s="5" t="s">
        <v>3</v>
      </c>
    </row>
    <row r="12" spans="1:11" x14ac:dyDescent="0.25">
      <c r="A12" s="5">
        <v>8</v>
      </c>
      <c r="B12" s="5" t="s">
        <v>4</v>
      </c>
      <c r="C12" s="5" t="s">
        <v>636</v>
      </c>
      <c r="D12" s="5" t="s">
        <v>198</v>
      </c>
      <c r="E12" s="6">
        <v>1378.8</v>
      </c>
      <c r="F12" s="5" t="s">
        <v>2092</v>
      </c>
      <c r="G12" s="5" t="s">
        <v>2093</v>
      </c>
      <c r="H12" s="6">
        <v>3153.55</v>
      </c>
      <c r="I12" s="11" t="s">
        <v>3</v>
      </c>
      <c r="J12" s="11" t="s">
        <v>3</v>
      </c>
      <c r="K12" s="5" t="s">
        <v>3</v>
      </c>
    </row>
    <row r="13" spans="1:11" x14ac:dyDescent="0.25">
      <c r="A13" s="5">
        <v>9</v>
      </c>
      <c r="B13" s="5" t="s">
        <v>4</v>
      </c>
      <c r="C13" s="5" t="s">
        <v>639</v>
      </c>
      <c r="D13" s="5" t="s">
        <v>2094</v>
      </c>
      <c r="E13" s="6">
        <v>269.94</v>
      </c>
      <c r="F13" s="5" t="s">
        <v>2092</v>
      </c>
      <c r="G13" s="5" t="s">
        <v>2095</v>
      </c>
      <c r="H13" s="6">
        <v>3153.55</v>
      </c>
      <c r="I13" s="11" t="s">
        <v>3</v>
      </c>
      <c r="J13" s="11" t="s">
        <v>3</v>
      </c>
      <c r="K13" s="5" t="s">
        <v>3</v>
      </c>
    </row>
    <row r="14" spans="1:11" x14ac:dyDescent="0.25">
      <c r="A14" s="5">
        <v>10</v>
      </c>
      <c r="B14" s="5" t="s">
        <v>4</v>
      </c>
      <c r="C14" s="5" t="s">
        <v>638</v>
      </c>
      <c r="D14" s="5" t="s">
        <v>2096</v>
      </c>
      <c r="E14" s="6">
        <v>353.59</v>
      </c>
      <c r="F14" s="5" t="s">
        <v>2092</v>
      </c>
      <c r="G14" s="5" t="s">
        <v>2097</v>
      </c>
      <c r="H14" s="6">
        <v>3153.55</v>
      </c>
      <c r="I14" s="11" t="s">
        <v>3</v>
      </c>
      <c r="J14" s="11" t="s">
        <v>3</v>
      </c>
      <c r="K14" s="5" t="s">
        <v>3</v>
      </c>
    </row>
    <row r="15" spans="1:11" x14ac:dyDescent="0.25">
      <c r="A15" s="5">
        <v>11</v>
      </c>
      <c r="B15" s="5" t="s">
        <v>4</v>
      </c>
      <c r="C15" s="5" t="s">
        <v>641</v>
      </c>
      <c r="D15" s="5" t="s">
        <v>2098</v>
      </c>
      <c r="E15" s="6">
        <v>27.99</v>
      </c>
      <c r="F15" s="5" t="s">
        <v>2092</v>
      </c>
      <c r="G15" s="5" t="s">
        <v>2099</v>
      </c>
      <c r="H15" s="6">
        <v>3153.55</v>
      </c>
      <c r="I15" s="11" t="s">
        <v>3</v>
      </c>
      <c r="J15" s="11" t="s">
        <v>3</v>
      </c>
      <c r="K15" s="5" t="s">
        <v>3</v>
      </c>
    </row>
    <row r="16" spans="1:11" x14ac:dyDescent="0.25">
      <c r="A16" s="5">
        <v>12</v>
      </c>
      <c r="B16" s="5" t="s">
        <v>4</v>
      </c>
      <c r="C16" s="5" t="s">
        <v>642</v>
      </c>
      <c r="D16" s="5" t="s">
        <v>2100</v>
      </c>
      <c r="E16" s="6">
        <v>18.32</v>
      </c>
      <c r="F16" s="5" t="s">
        <v>2092</v>
      </c>
      <c r="G16" s="5" t="s">
        <v>2101</v>
      </c>
      <c r="H16" s="6">
        <v>3153.55</v>
      </c>
      <c r="I16" s="11" t="s">
        <v>3</v>
      </c>
      <c r="J16" s="11" t="s">
        <v>3</v>
      </c>
      <c r="K16" s="5" t="s">
        <v>3</v>
      </c>
    </row>
    <row r="17" spans="1:11" x14ac:dyDescent="0.25">
      <c r="A17" s="5">
        <v>13</v>
      </c>
      <c r="B17" s="5" t="s">
        <v>4</v>
      </c>
      <c r="C17" s="5" t="s">
        <v>637</v>
      </c>
      <c r="D17" s="5" t="s">
        <v>2102</v>
      </c>
      <c r="E17" s="6">
        <v>998</v>
      </c>
      <c r="F17" s="5" t="s">
        <v>2092</v>
      </c>
      <c r="G17" s="5" t="s">
        <v>2103</v>
      </c>
      <c r="H17" s="6">
        <v>3153.55</v>
      </c>
      <c r="I17" s="11" t="s">
        <v>3</v>
      </c>
      <c r="J17" s="11" t="s">
        <v>3</v>
      </c>
      <c r="K17" s="5" t="s">
        <v>3</v>
      </c>
    </row>
    <row r="18" spans="1:11" x14ac:dyDescent="0.25">
      <c r="A18" s="5">
        <v>14</v>
      </c>
      <c r="B18" s="5" t="s">
        <v>4</v>
      </c>
      <c r="C18" s="5" t="s">
        <v>648</v>
      </c>
      <c r="D18" s="5" t="s">
        <v>2104</v>
      </c>
      <c r="E18" s="6">
        <v>154.99</v>
      </c>
      <c r="F18" s="5" t="s">
        <v>2105</v>
      </c>
      <c r="G18" s="5" t="s">
        <v>2106</v>
      </c>
      <c r="H18" s="6">
        <v>3153.55</v>
      </c>
      <c r="I18" s="11" t="s">
        <v>3</v>
      </c>
      <c r="J18" s="11" t="s">
        <v>3</v>
      </c>
      <c r="K18" s="5" t="s">
        <v>3</v>
      </c>
    </row>
    <row r="19" spans="1:11" x14ac:dyDescent="0.25">
      <c r="A19" s="5">
        <v>15</v>
      </c>
      <c r="B19" s="5" t="s">
        <v>4</v>
      </c>
      <c r="C19" s="5" t="s">
        <v>649</v>
      </c>
      <c r="D19" s="5" t="s">
        <v>2107</v>
      </c>
      <c r="E19" s="6">
        <v>133</v>
      </c>
      <c r="F19" s="5" t="s">
        <v>2105</v>
      </c>
      <c r="G19" s="5" t="s">
        <v>2108</v>
      </c>
      <c r="H19" s="6">
        <v>3153.55</v>
      </c>
      <c r="I19" s="11" t="s">
        <v>3</v>
      </c>
      <c r="J19" s="11" t="s">
        <v>3</v>
      </c>
      <c r="K19" s="5" t="s">
        <v>3</v>
      </c>
    </row>
    <row r="20" spans="1:11" x14ac:dyDescent="0.25">
      <c r="A20" s="5">
        <v>16</v>
      </c>
      <c r="B20" s="5" t="s">
        <v>4</v>
      </c>
      <c r="C20" s="5" t="s">
        <v>645</v>
      </c>
      <c r="D20" s="5" t="s">
        <v>2109</v>
      </c>
      <c r="E20" s="6">
        <v>3509.83</v>
      </c>
      <c r="F20" s="5" t="s">
        <v>2105</v>
      </c>
      <c r="G20" s="5" t="s">
        <v>2110</v>
      </c>
      <c r="H20" s="6">
        <v>3153.55</v>
      </c>
      <c r="I20" s="11" t="s">
        <v>3</v>
      </c>
      <c r="J20" s="11" t="s">
        <v>3</v>
      </c>
      <c r="K20" s="5" t="s">
        <v>3</v>
      </c>
    </row>
    <row r="21" spans="1:11" x14ac:dyDescent="0.25">
      <c r="A21" s="5">
        <v>17</v>
      </c>
      <c r="B21" s="5" t="s">
        <v>4</v>
      </c>
      <c r="C21" s="5" t="s">
        <v>651</v>
      </c>
      <c r="D21" s="5" t="s">
        <v>2111</v>
      </c>
      <c r="E21" s="6">
        <v>31.86</v>
      </c>
      <c r="F21" s="5" t="s">
        <v>2105</v>
      </c>
      <c r="G21" s="5" t="s">
        <v>2112</v>
      </c>
      <c r="H21" s="6">
        <v>3153.55</v>
      </c>
      <c r="I21" s="11" t="s">
        <v>3</v>
      </c>
      <c r="J21" s="11" t="s">
        <v>3</v>
      </c>
      <c r="K21" s="5" t="s">
        <v>3</v>
      </c>
    </row>
    <row r="22" spans="1:11" x14ac:dyDescent="0.25">
      <c r="A22" s="5">
        <v>18</v>
      </c>
      <c r="B22" s="5" t="s">
        <v>4</v>
      </c>
      <c r="C22" s="5" t="s">
        <v>652</v>
      </c>
      <c r="D22" s="5" t="s">
        <v>2113</v>
      </c>
      <c r="E22" s="6">
        <v>28.36</v>
      </c>
      <c r="F22" s="5" t="s">
        <v>2105</v>
      </c>
      <c r="G22" s="5" t="s">
        <v>2114</v>
      </c>
      <c r="H22" s="6">
        <v>3153.55</v>
      </c>
      <c r="I22" s="11" t="s">
        <v>3</v>
      </c>
      <c r="J22" s="11" t="s">
        <v>3</v>
      </c>
      <c r="K22" s="5" t="s">
        <v>3</v>
      </c>
    </row>
    <row r="23" spans="1:11" x14ac:dyDescent="0.25">
      <c r="A23" s="5">
        <v>19</v>
      </c>
      <c r="B23" s="5" t="s">
        <v>4</v>
      </c>
      <c r="C23" s="5" t="s">
        <v>298</v>
      </c>
      <c r="D23" s="5" t="s">
        <v>2115</v>
      </c>
      <c r="E23" s="6">
        <v>145000</v>
      </c>
      <c r="F23" s="5" t="s">
        <v>1396</v>
      </c>
      <c r="G23" s="5" t="s">
        <v>2116</v>
      </c>
      <c r="H23" s="6">
        <v>2157.69</v>
      </c>
      <c r="I23" s="11" t="s">
        <v>3</v>
      </c>
      <c r="J23" s="11" t="s">
        <v>3</v>
      </c>
      <c r="K23" s="5" t="s">
        <v>3</v>
      </c>
    </row>
    <row r="24" spans="1:11" x14ac:dyDescent="0.25">
      <c r="A24" s="5">
        <v>20</v>
      </c>
      <c r="B24" s="5" t="s">
        <v>4</v>
      </c>
      <c r="C24" s="5" t="s">
        <v>298</v>
      </c>
      <c r="D24" s="5" t="s">
        <v>2115</v>
      </c>
      <c r="E24" s="6">
        <v>1885</v>
      </c>
      <c r="F24" s="5" t="s">
        <v>1396</v>
      </c>
      <c r="G24" s="5" t="s">
        <v>2116</v>
      </c>
      <c r="H24" s="6">
        <v>2157.69</v>
      </c>
      <c r="I24" s="11" t="s">
        <v>3</v>
      </c>
      <c r="J24" s="11" t="s">
        <v>3</v>
      </c>
      <c r="K24" s="5" t="s">
        <v>3</v>
      </c>
    </row>
    <row r="25" spans="1:11" x14ac:dyDescent="0.25">
      <c r="A25" s="5">
        <v>21</v>
      </c>
      <c r="B25" s="5" t="s">
        <v>4</v>
      </c>
      <c r="C25" s="5" t="s">
        <v>298</v>
      </c>
      <c r="D25" s="5" t="s">
        <v>2117</v>
      </c>
      <c r="E25" s="6">
        <v>27.69</v>
      </c>
      <c r="F25" s="5" t="s">
        <v>1396</v>
      </c>
      <c r="G25" s="5" t="s">
        <v>2118</v>
      </c>
      <c r="H25" s="6">
        <v>2157.69</v>
      </c>
      <c r="I25" s="11" t="s">
        <v>3</v>
      </c>
      <c r="J25" s="11" t="s">
        <v>3</v>
      </c>
      <c r="K25" s="5" t="s">
        <v>3</v>
      </c>
    </row>
    <row r="26" spans="1:11" x14ac:dyDescent="0.25">
      <c r="A26" s="5">
        <v>22</v>
      </c>
      <c r="B26" s="5" t="s">
        <v>4</v>
      </c>
      <c r="C26" s="5" t="s">
        <v>740</v>
      </c>
      <c r="D26" s="5" t="s">
        <v>2119</v>
      </c>
      <c r="E26" s="6">
        <v>33</v>
      </c>
      <c r="F26" s="5" t="s">
        <v>1396</v>
      </c>
      <c r="G26" s="5" t="s">
        <v>2120</v>
      </c>
      <c r="H26" s="6">
        <v>66</v>
      </c>
      <c r="I26" s="11" t="s">
        <v>3</v>
      </c>
      <c r="J26" s="11" t="s">
        <v>3</v>
      </c>
      <c r="K26" s="5" t="s">
        <v>3</v>
      </c>
    </row>
    <row r="27" spans="1:11" x14ac:dyDescent="0.25">
      <c r="A27" s="5">
        <v>23</v>
      </c>
      <c r="B27" s="5" t="s">
        <v>4</v>
      </c>
      <c r="C27" s="5" t="s">
        <v>740</v>
      </c>
      <c r="D27" s="5" t="s">
        <v>2121</v>
      </c>
      <c r="E27" s="6">
        <v>33</v>
      </c>
      <c r="F27" s="5" t="s">
        <v>1396</v>
      </c>
      <c r="G27" s="5" t="s">
        <v>2122</v>
      </c>
      <c r="H27" s="6">
        <v>66</v>
      </c>
      <c r="I27" s="11" t="s">
        <v>3</v>
      </c>
      <c r="J27" s="11" t="s">
        <v>3</v>
      </c>
      <c r="K27" s="5" t="s">
        <v>3</v>
      </c>
    </row>
    <row r="28" spans="1:11" x14ac:dyDescent="0.25">
      <c r="A28" s="5">
        <v>24</v>
      </c>
      <c r="B28" s="5" t="s">
        <v>4</v>
      </c>
      <c r="C28" s="5" t="s">
        <v>58</v>
      </c>
      <c r="D28" s="5" t="s">
        <v>752</v>
      </c>
      <c r="E28" s="6">
        <v>5000</v>
      </c>
      <c r="F28" s="5" t="s">
        <v>1587</v>
      </c>
      <c r="G28" s="5" t="s">
        <v>2123</v>
      </c>
      <c r="H28" s="6">
        <v>60.68</v>
      </c>
      <c r="I28" s="11" t="s">
        <v>3</v>
      </c>
      <c r="J28" s="11" t="s">
        <v>3</v>
      </c>
      <c r="K28" s="5" t="s">
        <v>3</v>
      </c>
    </row>
    <row r="29" spans="1:11" x14ac:dyDescent="0.25">
      <c r="A29" s="5">
        <v>25</v>
      </c>
      <c r="B29" s="5" t="s">
        <v>5</v>
      </c>
      <c r="C29" s="5" t="s">
        <v>663</v>
      </c>
      <c r="D29" s="5" t="s">
        <v>867</v>
      </c>
      <c r="E29" s="6">
        <v>5000</v>
      </c>
      <c r="F29" s="5" t="s">
        <v>1891</v>
      </c>
      <c r="G29" s="5" t="s">
        <v>2124</v>
      </c>
      <c r="H29" s="6">
        <v>5000</v>
      </c>
      <c r="I29" s="11" t="s">
        <v>3</v>
      </c>
      <c r="J29" s="11" t="s">
        <v>3</v>
      </c>
      <c r="K29" s="5" t="s">
        <v>3</v>
      </c>
    </row>
    <row r="30" spans="1:11" x14ac:dyDescent="0.25">
      <c r="A30" s="5">
        <v>26</v>
      </c>
      <c r="B30" s="5" t="s">
        <v>5</v>
      </c>
      <c r="C30" s="5" t="s">
        <v>117</v>
      </c>
      <c r="D30" s="5" t="s">
        <v>119</v>
      </c>
      <c r="E30" s="6">
        <v>1467.02</v>
      </c>
      <c r="F30" s="5" t="s">
        <v>2082</v>
      </c>
      <c r="G30" s="5" t="s">
        <v>2125</v>
      </c>
      <c r="H30" s="6">
        <v>1467.02</v>
      </c>
      <c r="I30" s="11" t="s">
        <v>3</v>
      </c>
      <c r="J30" s="11" t="s">
        <v>3</v>
      </c>
      <c r="K30" s="5" t="s">
        <v>3</v>
      </c>
    </row>
    <row r="31" spans="1:11" x14ac:dyDescent="0.25">
      <c r="A31" s="5">
        <v>27</v>
      </c>
      <c r="B31" s="5" t="s">
        <v>5</v>
      </c>
      <c r="C31" s="5" t="s">
        <v>72</v>
      </c>
      <c r="D31" s="5" t="s">
        <v>135</v>
      </c>
      <c r="E31" s="6">
        <v>20000</v>
      </c>
      <c r="F31" s="5" t="s">
        <v>1891</v>
      </c>
      <c r="G31" s="5" t="s">
        <v>2126</v>
      </c>
      <c r="H31" s="6">
        <v>404.35</v>
      </c>
      <c r="I31" s="11" t="s">
        <v>3</v>
      </c>
      <c r="J31" s="11" t="s">
        <v>3</v>
      </c>
      <c r="K31" s="5" t="s">
        <v>3</v>
      </c>
    </row>
    <row r="32" spans="1:11" x14ac:dyDescent="0.25">
      <c r="A32" s="5">
        <v>28</v>
      </c>
      <c r="B32" s="5" t="s">
        <v>5</v>
      </c>
      <c r="C32" s="5" t="s">
        <v>302</v>
      </c>
      <c r="D32" s="5" t="s">
        <v>2127</v>
      </c>
      <c r="E32" s="6">
        <v>253.47</v>
      </c>
      <c r="F32" s="5" t="s">
        <v>1402</v>
      </c>
      <c r="G32" s="5" t="s">
        <v>2128</v>
      </c>
      <c r="H32" s="6">
        <v>89.48</v>
      </c>
      <c r="I32" s="11" t="s">
        <v>3</v>
      </c>
      <c r="J32" s="11" t="s">
        <v>3</v>
      </c>
      <c r="K32" s="5" t="s">
        <v>3</v>
      </c>
    </row>
    <row r="33" spans="1:11" x14ac:dyDescent="0.25">
      <c r="A33" s="5">
        <v>29</v>
      </c>
      <c r="B33" s="5" t="s">
        <v>6</v>
      </c>
      <c r="C33" s="5" t="s">
        <v>302</v>
      </c>
      <c r="D33" s="5" t="s">
        <v>2129</v>
      </c>
      <c r="E33" s="6">
        <v>4408.63</v>
      </c>
      <c r="F33" s="5" t="s">
        <v>1402</v>
      </c>
      <c r="G33" s="5" t="s">
        <v>2130</v>
      </c>
      <c r="H33" s="6">
        <v>17878.21</v>
      </c>
      <c r="I33" s="11" t="s">
        <v>3</v>
      </c>
      <c r="J33" s="11" t="s">
        <v>3</v>
      </c>
      <c r="K33" s="5" t="s">
        <v>3</v>
      </c>
    </row>
    <row r="34" spans="1:11" x14ac:dyDescent="0.25">
      <c r="A34" s="5">
        <v>30</v>
      </c>
      <c r="B34" s="5" t="s">
        <v>6</v>
      </c>
      <c r="C34" s="5" t="s">
        <v>302</v>
      </c>
      <c r="D34" s="5" t="s">
        <v>2131</v>
      </c>
      <c r="E34" s="6">
        <v>13817.89</v>
      </c>
      <c r="F34" s="5" t="s">
        <v>1402</v>
      </c>
      <c r="G34" s="5" t="s">
        <v>2132</v>
      </c>
      <c r="H34" s="6">
        <v>17878.21</v>
      </c>
      <c r="I34" s="11" t="s">
        <v>3</v>
      </c>
      <c r="J34" s="11" t="s">
        <v>3</v>
      </c>
      <c r="K34" s="5" t="s">
        <v>3</v>
      </c>
    </row>
    <row r="35" spans="1:11" x14ac:dyDescent="0.25">
      <c r="A35" s="5">
        <v>31</v>
      </c>
      <c r="B35" s="5" t="s">
        <v>6</v>
      </c>
      <c r="C35" s="5" t="s">
        <v>678</v>
      </c>
      <c r="D35" s="5" t="s">
        <v>2133</v>
      </c>
      <c r="E35" s="6">
        <v>4000</v>
      </c>
      <c r="F35" s="5" t="s">
        <v>1396</v>
      </c>
      <c r="G35" s="5" t="s">
        <v>2134</v>
      </c>
      <c r="H35" s="6">
        <v>4000</v>
      </c>
      <c r="I35" s="11" t="s">
        <v>3</v>
      </c>
      <c r="J35" s="11" t="s">
        <v>3</v>
      </c>
      <c r="K35" s="5" t="s">
        <v>3</v>
      </c>
    </row>
    <row r="36" spans="1:11" x14ac:dyDescent="0.25">
      <c r="A36" s="5">
        <v>32</v>
      </c>
      <c r="B36" s="5" t="s">
        <v>6</v>
      </c>
      <c r="C36" s="5" t="s">
        <v>90</v>
      </c>
      <c r="D36" s="5" t="s">
        <v>845</v>
      </c>
      <c r="E36" s="6">
        <v>7500</v>
      </c>
      <c r="F36" s="5" t="s">
        <v>1587</v>
      </c>
      <c r="G36" s="5" t="s">
        <v>2135</v>
      </c>
      <c r="H36" s="6">
        <v>721.19</v>
      </c>
      <c r="I36" s="11" t="s">
        <v>3</v>
      </c>
      <c r="J36" s="11" t="s">
        <v>3</v>
      </c>
      <c r="K36" s="5" t="s">
        <v>3</v>
      </c>
    </row>
    <row r="37" spans="1:11" x14ac:dyDescent="0.25">
      <c r="A37" s="5">
        <v>33</v>
      </c>
      <c r="B37" s="5" t="s">
        <v>6</v>
      </c>
      <c r="C37" s="5" t="s">
        <v>99</v>
      </c>
      <c r="D37" s="5" t="s">
        <v>2136</v>
      </c>
      <c r="E37" s="6">
        <v>286.4</v>
      </c>
      <c r="F37" s="5" t="s">
        <v>1424</v>
      </c>
      <c r="G37" s="5" t="s">
        <v>2137</v>
      </c>
      <c r="H37" s="6">
        <v>286.4</v>
      </c>
      <c r="I37" s="11" t="s">
        <v>3</v>
      </c>
      <c r="J37" s="11" t="s">
        <v>3</v>
      </c>
      <c r="K37" s="5" t="s">
        <v>3</v>
      </c>
    </row>
    <row r="38" spans="1:11" x14ac:dyDescent="0.25">
      <c r="A38" s="5">
        <v>34</v>
      </c>
      <c r="B38" s="5" t="s">
        <v>6</v>
      </c>
      <c r="C38" s="5" t="s">
        <v>58</v>
      </c>
      <c r="D38" s="5" t="s">
        <v>2138</v>
      </c>
      <c r="E38" s="6">
        <v>5000</v>
      </c>
      <c r="F38" s="5" t="s">
        <v>1587</v>
      </c>
      <c r="G38" s="5" t="s">
        <v>2139</v>
      </c>
      <c r="H38" s="6">
        <v>120.2</v>
      </c>
      <c r="I38" s="11" t="s">
        <v>3</v>
      </c>
      <c r="J38" s="11" t="s">
        <v>3</v>
      </c>
      <c r="K38" s="5" t="s">
        <v>3</v>
      </c>
    </row>
    <row r="39" spans="1:11" x14ac:dyDescent="0.25">
      <c r="A39" s="5">
        <v>35</v>
      </c>
      <c r="B39" s="5" t="s">
        <v>7</v>
      </c>
      <c r="C39" s="5" t="s">
        <v>593</v>
      </c>
      <c r="D39" s="5" t="s">
        <v>153</v>
      </c>
      <c r="E39" s="6">
        <v>5802.46</v>
      </c>
      <c r="F39" s="5" t="s">
        <v>1424</v>
      </c>
      <c r="G39" s="5" t="s">
        <v>2140</v>
      </c>
      <c r="H39" s="6">
        <v>2540.89</v>
      </c>
      <c r="I39" s="11" t="s">
        <v>3</v>
      </c>
      <c r="J39" s="11" t="s">
        <v>3</v>
      </c>
      <c r="K39" s="5" t="s">
        <v>3</v>
      </c>
    </row>
    <row r="40" spans="1:11" x14ac:dyDescent="0.25">
      <c r="A40" s="5">
        <v>36</v>
      </c>
      <c r="B40" s="5" t="s">
        <v>7</v>
      </c>
      <c r="C40" s="5" t="s">
        <v>554</v>
      </c>
      <c r="D40" s="5" t="s">
        <v>153</v>
      </c>
      <c r="E40" s="6">
        <v>217.72</v>
      </c>
      <c r="F40" s="5" t="s">
        <v>1424</v>
      </c>
      <c r="G40" s="5" t="s">
        <v>2141</v>
      </c>
      <c r="H40" s="6">
        <v>2215.18</v>
      </c>
      <c r="I40" s="11" t="s">
        <v>3</v>
      </c>
      <c r="J40" s="11" t="s">
        <v>3</v>
      </c>
      <c r="K40" s="5" t="s">
        <v>3</v>
      </c>
    </row>
    <row r="41" spans="1:11" x14ac:dyDescent="0.25">
      <c r="A41" s="5">
        <v>37</v>
      </c>
      <c r="B41" s="5" t="s">
        <v>7</v>
      </c>
      <c r="C41" s="5" t="s">
        <v>554</v>
      </c>
      <c r="D41" s="5" t="s">
        <v>153</v>
      </c>
      <c r="E41" s="6">
        <v>4082.46</v>
      </c>
      <c r="F41" s="5" t="s">
        <v>1419</v>
      </c>
      <c r="G41" s="5" t="s">
        <v>2142</v>
      </c>
      <c r="H41" s="6">
        <v>2215.18</v>
      </c>
      <c r="I41" s="11" t="s">
        <v>3</v>
      </c>
      <c r="J41" s="11" t="s">
        <v>3</v>
      </c>
      <c r="K41" s="5" t="s">
        <v>3</v>
      </c>
    </row>
    <row r="42" spans="1:11" x14ac:dyDescent="0.25">
      <c r="A42" s="5">
        <v>38</v>
      </c>
      <c r="B42" s="5" t="s">
        <v>7</v>
      </c>
      <c r="C42" s="5" t="s">
        <v>1129</v>
      </c>
      <c r="D42" s="5" t="s">
        <v>153</v>
      </c>
      <c r="E42" s="6">
        <v>7645.23</v>
      </c>
      <c r="F42" s="5" t="s">
        <v>1927</v>
      </c>
      <c r="G42" s="5" t="s">
        <v>2143</v>
      </c>
      <c r="H42" s="6">
        <v>1794.22</v>
      </c>
      <c r="I42" s="11" t="s">
        <v>3</v>
      </c>
      <c r="J42" s="11" t="s">
        <v>3</v>
      </c>
      <c r="K42" s="5" t="s">
        <v>3</v>
      </c>
    </row>
    <row r="43" spans="1:11" x14ac:dyDescent="0.25">
      <c r="A43" s="5">
        <v>39</v>
      </c>
      <c r="B43" s="5" t="s">
        <v>7</v>
      </c>
      <c r="C43" s="5" t="s">
        <v>1050</v>
      </c>
      <c r="D43" s="5" t="s">
        <v>2144</v>
      </c>
      <c r="E43" s="6">
        <v>429.86</v>
      </c>
      <c r="F43" s="5" t="s">
        <v>1927</v>
      </c>
      <c r="G43" s="5" t="s">
        <v>2145</v>
      </c>
      <c r="H43" s="6">
        <v>1794.22</v>
      </c>
      <c r="I43" s="11" t="s">
        <v>3</v>
      </c>
      <c r="J43" s="11" t="s">
        <v>3</v>
      </c>
      <c r="K43" s="5" t="s">
        <v>3</v>
      </c>
    </row>
    <row r="44" spans="1:11" x14ac:dyDescent="0.25">
      <c r="A44" s="5">
        <v>40</v>
      </c>
      <c r="B44" s="5" t="s">
        <v>7</v>
      </c>
      <c r="C44" s="5" t="s">
        <v>1050</v>
      </c>
      <c r="D44" s="5" t="s">
        <v>153</v>
      </c>
      <c r="E44" s="6">
        <v>6876.42</v>
      </c>
      <c r="F44" s="5" t="s">
        <v>1927</v>
      </c>
      <c r="G44" s="5" t="s">
        <v>2146</v>
      </c>
      <c r="H44" s="6">
        <v>1794.22</v>
      </c>
      <c r="I44" s="11" t="s">
        <v>3</v>
      </c>
      <c r="J44" s="11" t="s">
        <v>3</v>
      </c>
      <c r="K44" s="5" t="s">
        <v>3</v>
      </c>
    </row>
    <row r="45" spans="1:11" x14ac:dyDescent="0.25">
      <c r="A45" s="5">
        <v>41</v>
      </c>
      <c r="B45" s="5" t="s">
        <v>7</v>
      </c>
      <c r="C45" s="5" t="s">
        <v>1130</v>
      </c>
      <c r="D45" s="5" t="s">
        <v>2147</v>
      </c>
      <c r="E45" s="6">
        <v>1675.35</v>
      </c>
      <c r="F45" s="5" t="s">
        <v>1927</v>
      </c>
      <c r="G45" s="5" t="s">
        <v>2148</v>
      </c>
      <c r="H45" s="6">
        <v>1794.22</v>
      </c>
      <c r="I45" s="11" t="s">
        <v>3</v>
      </c>
      <c r="J45" s="11" t="s">
        <v>3</v>
      </c>
      <c r="K45" s="5" t="s">
        <v>3</v>
      </c>
    </row>
    <row r="46" spans="1:11" x14ac:dyDescent="0.25">
      <c r="A46" s="5">
        <v>42</v>
      </c>
      <c r="B46" s="5" t="s">
        <v>7</v>
      </c>
      <c r="C46" s="5" t="s">
        <v>1152</v>
      </c>
      <c r="D46" s="5" t="s">
        <v>2149</v>
      </c>
      <c r="E46" s="6">
        <v>200</v>
      </c>
      <c r="F46" s="5" t="s">
        <v>1587</v>
      </c>
      <c r="G46" s="5" t="s">
        <v>2150</v>
      </c>
      <c r="H46" s="6">
        <v>200</v>
      </c>
      <c r="I46" s="11" t="s">
        <v>3</v>
      </c>
      <c r="J46" s="11" t="s">
        <v>3</v>
      </c>
      <c r="K46" s="5" t="s">
        <v>3</v>
      </c>
    </row>
    <row r="47" spans="1:11" x14ac:dyDescent="0.25">
      <c r="A47" s="5">
        <v>43</v>
      </c>
      <c r="B47" s="5" t="s">
        <v>7</v>
      </c>
      <c r="C47" s="5" t="s">
        <v>1153</v>
      </c>
      <c r="D47" s="5" t="s">
        <v>2149</v>
      </c>
      <c r="E47" s="6">
        <v>100</v>
      </c>
      <c r="F47" s="5" t="s">
        <v>1587</v>
      </c>
      <c r="G47" s="5" t="s">
        <v>2151</v>
      </c>
      <c r="H47" s="6">
        <v>100</v>
      </c>
      <c r="I47" s="11" t="s">
        <v>3</v>
      </c>
      <c r="J47" s="11" t="s">
        <v>3</v>
      </c>
      <c r="K47" s="5" t="s">
        <v>3</v>
      </c>
    </row>
    <row r="48" spans="1:11" x14ac:dyDescent="0.25">
      <c r="A48" s="5">
        <v>44</v>
      </c>
      <c r="B48" s="5" t="s">
        <v>7</v>
      </c>
      <c r="C48" s="5" t="s">
        <v>58</v>
      </c>
      <c r="D48" s="5" t="s">
        <v>2152</v>
      </c>
      <c r="E48" s="6">
        <v>5000</v>
      </c>
      <c r="F48" s="5" t="s">
        <v>1587</v>
      </c>
      <c r="G48" s="5" t="s">
        <v>2153</v>
      </c>
      <c r="H48" s="6">
        <v>88.78</v>
      </c>
      <c r="I48" s="11" t="s">
        <v>3</v>
      </c>
      <c r="J48" s="11" t="s">
        <v>3</v>
      </c>
      <c r="K48" s="5" t="s">
        <v>3</v>
      </c>
    </row>
    <row r="49" spans="1:11" x14ac:dyDescent="0.25">
      <c r="A49" s="5">
        <v>45</v>
      </c>
      <c r="B49" s="5" t="s">
        <v>8</v>
      </c>
      <c r="C49" s="5" t="s">
        <v>1092</v>
      </c>
      <c r="D49" s="5" t="s">
        <v>135</v>
      </c>
      <c r="E49" s="6">
        <v>10284.19</v>
      </c>
      <c r="F49" s="5" t="s">
        <v>1396</v>
      </c>
      <c r="G49" s="5" t="s">
        <v>2154</v>
      </c>
      <c r="H49" s="6">
        <v>10284.19</v>
      </c>
      <c r="I49" s="11" t="s">
        <v>3</v>
      </c>
      <c r="J49" s="11" t="s">
        <v>3</v>
      </c>
      <c r="K49" s="5" t="s">
        <v>3</v>
      </c>
    </row>
    <row r="50" spans="1:11" x14ac:dyDescent="0.25">
      <c r="A50" s="5">
        <v>46</v>
      </c>
      <c r="B50" s="5" t="s">
        <v>8</v>
      </c>
      <c r="C50" s="5" t="s">
        <v>508</v>
      </c>
      <c r="D50" s="5" t="s">
        <v>2155</v>
      </c>
      <c r="E50" s="6">
        <v>140.83</v>
      </c>
      <c r="F50" s="5" t="s">
        <v>1927</v>
      </c>
      <c r="G50" s="5" t="s">
        <v>2156</v>
      </c>
      <c r="H50" s="6">
        <v>9090.49</v>
      </c>
      <c r="I50" s="11" t="s">
        <v>3</v>
      </c>
      <c r="J50" s="11" t="s">
        <v>3</v>
      </c>
      <c r="K50" s="5" t="s">
        <v>3</v>
      </c>
    </row>
    <row r="51" spans="1:11" x14ac:dyDescent="0.25">
      <c r="A51" s="5">
        <v>47</v>
      </c>
      <c r="B51" s="5" t="s">
        <v>8</v>
      </c>
      <c r="C51" s="5" t="s">
        <v>508</v>
      </c>
      <c r="D51" s="5" t="s">
        <v>2155</v>
      </c>
      <c r="E51" s="6">
        <v>53.82</v>
      </c>
      <c r="F51" s="5" t="s">
        <v>1927</v>
      </c>
      <c r="G51" s="5" t="s">
        <v>2156</v>
      </c>
      <c r="H51" s="6">
        <v>9090.49</v>
      </c>
      <c r="I51" s="11" t="s">
        <v>3</v>
      </c>
      <c r="J51" s="11" t="s">
        <v>3</v>
      </c>
      <c r="K51" s="5" t="s">
        <v>3</v>
      </c>
    </row>
    <row r="52" spans="1:11" x14ac:dyDescent="0.25">
      <c r="A52" s="5">
        <v>48</v>
      </c>
      <c r="B52" s="5" t="s">
        <v>8</v>
      </c>
      <c r="C52" s="5" t="s">
        <v>1050</v>
      </c>
      <c r="D52" s="5" t="s">
        <v>153</v>
      </c>
      <c r="E52" s="6">
        <v>2875.65</v>
      </c>
      <c r="F52" s="5" t="s">
        <v>1927</v>
      </c>
      <c r="G52" s="5" t="s">
        <v>2157</v>
      </c>
      <c r="H52" s="6">
        <v>9090.49</v>
      </c>
      <c r="I52" s="11" t="s">
        <v>3</v>
      </c>
      <c r="J52" s="11" t="s">
        <v>3</v>
      </c>
      <c r="K52" s="5" t="s">
        <v>3</v>
      </c>
    </row>
    <row r="53" spans="1:11" x14ac:dyDescent="0.25">
      <c r="A53" s="5">
        <v>49</v>
      </c>
      <c r="B53" s="5" t="s">
        <v>8</v>
      </c>
      <c r="C53" s="5" t="s">
        <v>1051</v>
      </c>
      <c r="D53" s="5" t="s">
        <v>153</v>
      </c>
      <c r="E53" s="6">
        <v>609.08</v>
      </c>
      <c r="F53" s="5" t="s">
        <v>1927</v>
      </c>
      <c r="G53" s="5" t="s">
        <v>2158</v>
      </c>
      <c r="H53" s="6">
        <v>9090.49</v>
      </c>
      <c r="I53" s="11" t="s">
        <v>3</v>
      </c>
      <c r="J53" s="11" t="s">
        <v>3</v>
      </c>
      <c r="K53" s="5" t="s">
        <v>3</v>
      </c>
    </row>
    <row r="54" spans="1:11" x14ac:dyDescent="0.25">
      <c r="A54" s="5">
        <v>50</v>
      </c>
      <c r="B54" s="5" t="s">
        <v>8</v>
      </c>
      <c r="C54" s="5" t="s">
        <v>1050</v>
      </c>
      <c r="D54" s="5" t="s">
        <v>153</v>
      </c>
      <c r="E54" s="6">
        <v>792.53</v>
      </c>
      <c r="F54" s="5" t="s">
        <v>1927</v>
      </c>
      <c r="G54" s="5" t="s">
        <v>2159</v>
      </c>
      <c r="H54" s="6">
        <v>9090.49</v>
      </c>
      <c r="I54" s="11" t="s">
        <v>3</v>
      </c>
      <c r="J54" s="11" t="s">
        <v>3</v>
      </c>
      <c r="K54" s="5" t="s">
        <v>3</v>
      </c>
    </row>
    <row r="55" spans="1:11" x14ac:dyDescent="0.25">
      <c r="A55" s="5">
        <v>51</v>
      </c>
      <c r="B55" s="5" t="s">
        <v>8</v>
      </c>
      <c r="C55" s="5" t="s">
        <v>1050</v>
      </c>
      <c r="D55" s="5" t="s">
        <v>2144</v>
      </c>
      <c r="E55" s="6">
        <v>429.85</v>
      </c>
      <c r="F55" s="5" t="s">
        <v>1927</v>
      </c>
      <c r="G55" s="5" t="s">
        <v>2160</v>
      </c>
      <c r="H55" s="6">
        <v>9090.49</v>
      </c>
      <c r="I55" s="11" t="s">
        <v>3</v>
      </c>
      <c r="J55" s="11" t="s">
        <v>3</v>
      </c>
      <c r="K55" s="5" t="s">
        <v>3</v>
      </c>
    </row>
    <row r="56" spans="1:11" x14ac:dyDescent="0.25">
      <c r="A56" s="5">
        <v>52</v>
      </c>
      <c r="B56" s="5" t="s">
        <v>8</v>
      </c>
      <c r="C56" s="5" t="s">
        <v>151</v>
      </c>
      <c r="D56" s="5" t="s">
        <v>153</v>
      </c>
      <c r="E56" s="6">
        <v>551.62</v>
      </c>
      <c r="F56" s="5" t="s">
        <v>1927</v>
      </c>
      <c r="G56" s="5" t="s">
        <v>2161</v>
      </c>
      <c r="H56" s="6">
        <v>9090.49</v>
      </c>
      <c r="I56" s="11" t="s">
        <v>3</v>
      </c>
      <c r="J56" s="11" t="s">
        <v>3</v>
      </c>
      <c r="K56" s="5" t="s">
        <v>3</v>
      </c>
    </row>
    <row r="57" spans="1:11" x14ac:dyDescent="0.25">
      <c r="A57" s="5">
        <v>53</v>
      </c>
      <c r="B57" s="5" t="s">
        <v>8</v>
      </c>
      <c r="C57" s="5" t="s">
        <v>1050</v>
      </c>
      <c r="D57" s="5" t="s">
        <v>153</v>
      </c>
      <c r="E57" s="6">
        <v>6204.94</v>
      </c>
      <c r="F57" s="5" t="s">
        <v>1927</v>
      </c>
      <c r="G57" s="5" t="s">
        <v>2162</v>
      </c>
      <c r="H57" s="6">
        <v>9090.49</v>
      </c>
      <c r="I57" s="11" t="s">
        <v>3</v>
      </c>
      <c r="J57" s="11" t="s">
        <v>3</v>
      </c>
      <c r="K57" s="5" t="s">
        <v>3</v>
      </c>
    </row>
    <row r="58" spans="1:11" x14ac:dyDescent="0.25">
      <c r="A58" s="5">
        <v>54</v>
      </c>
      <c r="B58" s="5" t="s">
        <v>8</v>
      </c>
      <c r="C58" s="5" t="s">
        <v>595</v>
      </c>
      <c r="D58" s="5" t="s">
        <v>153</v>
      </c>
      <c r="E58" s="6">
        <v>5160.79</v>
      </c>
      <c r="F58" s="5" t="s">
        <v>1424</v>
      </c>
      <c r="G58" s="5" t="s">
        <v>2163</v>
      </c>
      <c r="H58" s="6">
        <v>5160.79</v>
      </c>
      <c r="I58" s="11" t="s">
        <v>3</v>
      </c>
      <c r="J58" s="11" t="s">
        <v>3</v>
      </c>
      <c r="K58" s="5" t="s">
        <v>3</v>
      </c>
    </row>
    <row r="59" spans="1:11" x14ac:dyDescent="0.25">
      <c r="A59" s="5">
        <v>55</v>
      </c>
      <c r="B59" s="5" t="s">
        <v>8</v>
      </c>
      <c r="C59" s="5" t="s">
        <v>734</v>
      </c>
      <c r="D59" s="5" t="s">
        <v>129</v>
      </c>
      <c r="E59" s="6">
        <v>5032.26</v>
      </c>
      <c r="F59" s="5" t="s">
        <v>1396</v>
      </c>
      <c r="G59" s="5" t="s">
        <v>2164</v>
      </c>
      <c r="H59" s="6">
        <v>5032.26</v>
      </c>
      <c r="I59" s="11" t="s">
        <v>3</v>
      </c>
      <c r="J59" s="11" t="s">
        <v>3</v>
      </c>
      <c r="K59" s="5" t="s">
        <v>3</v>
      </c>
    </row>
    <row r="60" spans="1:11" x14ac:dyDescent="0.25">
      <c r="A60" s="5">
        <v>56</v>
      </c>
      <c r="B60" s="5" t="s">
        <v>8</v>
      </c>
      <c r="C60" s="5" t="s">
        <v>734</v>
      </c>
      <c r="D60" s="5" t="s">
        <v>257</v>
      </c>
      <c r="E60" s="6">
        <v>6000</v>
      </c>
      <c r="F60" s="5" t="s">
        <v>1396</v>
      </c>
      <c r="G60" s="5" t="s">
        <v>2165</v>
      </c>
      <c r="H60" s="6">
        <v>5032.26</v>
      </c>
      <c r="I60" s="11" t="s">
        <v>3</v>
      </c>
      <c r="J60" s="11" t="s">
        <v>3</v>
      </c>
      <c r="K60" s="5" t="s">
        <v>3</v>
      </c>
    </row>
    <row r="61" spans="1:11" x14ac:dyDescent="0.25">
      <c r="A61" s="5">
        <v>57</v>
      </c>
      <c r="B61" s="5" t="s">
        <v>8</v>
      </c>
      <c r="C61" s="5" t="s">
        <v>554</v>
      </c>
      <c r="D61" s="5" t="s">
        <v>153</v>
      </c>
      <c r="E61" s="6">
        <v>2111.45</v>
      </c>
      <c r="F61" s="5" t="s">
        <v>1424</v>
      </c>
      <c r="G61" s="5" t="s">
        <v>2166</v>
      </c>
      <c r="H61" s="6">
        <v>2040.15</v>
      </c>
      <c r="I61" s="11" t="s">
        <v>3</v>
      </c>
      <c r="J61" s="11" t="s">
        <v>3</v>
      </c>
      <c r="K61" s="5" t="s">
        <v>3</v>
      </c>
    </row>
    <row r="62" spans="1:11" x14ac:dyDescent="0.25">
      <c r="A62" s="5">
        <v>58</v>
      </c>
      <c r="B62" s="5" t="s">
        <v>8</v>
      </c>
      <c r="C62" s="5" t="s">
        <v>555</v>
      </c>
      <c r="D62" s="5" t="s">
        <v>153</v>
      </c>
      <c r="E62" s="6">
        <v>1741.87</v>
      </c>
      <c r="F62" s="5" t="s">
        <v>1419</v>
      </c>
      <c r="G62" s="5" t="s">
        <v>2167</v>
      </c>
      <c r="H62" s="6">
        <v>1592.12</v>
      </c>
      <c r="I62" s="11" t="s">
        <v>3</v>
      </c>
      <c r="J62" s="11" t="s">
        <v>3</v>
      </c>
      <c r="K62" s="5" t="s">
        <v>3</v>
      </c>
    </row>
    <row r="63" spans="1:11" x14ac:dyDescent="0.25">
      <c r="A63" s="5">
        <v>59</v>
      </c>
      <c r="B63" s="5" t="s">
        <v>8</v>
      </c>
      <c r="C63" s="5" t="s">
        <v>146</v>
      </c>
      <c r="D63" s="5" t="s">
        <v>2168</v>
      </c>
      <c r="E63" s="6">
        <v>700</v>
      </c>
      <c r="F63" s="5" t="s">
        <v>1709</v>
      </c>
      <c r="G63" s="5" t="s">
        <v>2169</v>
      </c>
      <c r="H63" s="6">
        <v>1545.37</v>
      </c>
      <c r="I63" s="11" t="s">
        <v>3</v>
      </c>
      <c r="J63" s="11" t="s">
        <v>3</v>
      </c>
      <c r="K63" s="5" t="s">
        <v>3</v>
      </c>
    </row>
    <row r="64" spans="1:11" x14ac:dyDescent="0.25">
      <c r="A64" s="5">
        <v>60</v>
      </c>
      <c r="B64" s="5" t="s">
        <v>8</v>
      </c>
      <c r="C64" s="5" t="s">
        <v>146</v>
      </c>
      <c r="D64" s="5" t="s">
        <v>2170</v>
      </c>
      <c r="E64" s="6">
        <v>261.21</v>
      </c>
      <c r="F64" s="5" t="s">
        <v>1709</v>
      </c>
      <c r="G64" s="5" t="s">
        <v>2171</v>
      </c>
      <c r="H64" s="6">
        <v>1545.37</v>
      </c>
      <c r="I64" s="11" t="s">
        <v>3</v>
      </c>
      <c r="J64" s="11" t="s">
        <v>3</v>
      </c>
      <c r="K64" s="5" t="s">
        <v>3</v>
      </c>
    </row>
    <row r="65" spans="1:11" x14ac:dyDescent="0.25">
      <c r="A65" s="5">
        <v>61</v>
      </c>
      <c r="B65" s="5" t="s">
        <v>8</v>
      </c>
      <c r="C65" s="5" t="s">
        <v>146</v>
      </c>
      <c r="D65" s="5" t="s">
        <v>2172</v>
      </c>
      <c r="E65" s="6">
        <v>354.84</v>
      </c>
      <c r="F65" s="5" t="s">
        <v>1709</v>
      </c>
      <c r="G65" s="5" t="s">
        <v>2173</v>
      </c>
      <c r="H65" s="6">
        <v>1545.37</v>
      </c>
      <c r="I65" s="11" t="s">
        <v>3</v>
      </c>
      <c r="J65" s="11" t="s">
        <v>3</v>
      </c>
      <c r="K65" s="5" t="s">
        <v>3</v>
      </c>
    </row>
    <row r="66" spans="1:11" x14ac:dyDescent="0.25">
      <c r="A66" s="5">
        <v>62</v>
      </c>
      <c r="B66" s="5" t="s">
        <v>8</v>
      </c>
      <c r="C66" s="5" t="s">
        <v>146</v>
      </c>
      <c r="D66" s="5" t="s">
        <v>2174</v>
      </c>
      <c r="E66" s="6">
        <v>500</v>
      </c>
      <c r="F66" s="5" t="s">
        <v>1709</v>
      </c>
      <c r="G66" s="5" t="s">
        <v>2175</v>
      </c>
      <c r="H66" s="6">
        <v>1545.37</v>
      </c>
      <c r="I66" s="11" t="s">
        <v>3</v>
      </c>
      <c r="J66" s="11" t="s">
        <v>3</v>
      </c>
      <c r="K66" s="5" t="s">
        <v>3</v>
      </c>
    </row>
    <row r="67" spans="1:11" x14ac:dyDescent="0.25">
      <c r="A67" s="5">
        <v>63</v>
      </c>
      <c r="B67" s="5" t="s">
        <v>8</v>
      </c>
      <c r="C67" s="5" t="s">
        <v>146</v>
      </c>
      <c r="D67" s="5" t="s">
        <v>2176</v>
      </c>
      <c r="E67" s="6">
        <v>21712</v>
      </c>
      <c r="F67" s="5" t="s">
        <v>1709</v>
      </c>
      <c r="G67" s="5" t="s">
        <v>2177</v>
      </c>
      <c r="H67" s="6">
        <v>1545.37</v>
      </c>
      <c r="I67" s="11" t="s">
        <v>3</v>
      </c>
      <c r="J67" s="11" t="s">
        <v>3</v>
      </c>
      <c r="K67" s="5" t="s">
        <v>3</v>
      </c>
    </row>
    <row r="68" spans="1:11" x14ac:dyDescent="0.25">
      <c r="A68" s="5">
        <v>64</v>
      </c>
      <c r="B68" s="5" t="s">
        <v>8</v>
      </c>
      <c r="C68" s="5" t="s">
        <v>146</v>
      </c>
      <c r="D68" s="5" t="s">
        <v>2178</v>
      </c>
      <c r="E68" s="6">
        <v>500</v>
      </c>
      <c r="F68" s="5" t="s">
        <v>1709</v>
      </c>
      <c r="G68" s="5" t="s">
        <v>2179</v>
      </c>
      <c r="H68" s="6">
        <v>1545.37</v>
      </c>
      <c r="I68" s="11" t="s">
        <v>3</v>
      </c>
      <c r="J68" s="11" t="s">
        <v>3</v>
      </c>
      <c r="K68" s="5" t="s">
        <v>3</v>
      </c>
    </row>
    <row r="69" spans="1:11" x14ac:dyDescent="0.25">
      <c r="A69" s="5">
        <v>65</v>
      </c>
      <c r="B69" s="5" t="s">
        <v>8</v>
      </c>
      <c r="C69" s="5" t="s">
        <v>146</v>
      </c>
      <c r="D69" s="5" t="s">
        <v>2180</v>
      </c>
      <c r="E69" s="6">
        <v>598.4</v>
      </c>
      <c r="F69" s="5" t="s">
        <v>1709</v>
      </c>
      <c r="G69" s="5" t="s">
        <v>2181</v>
      </c>
      <c r="H69" s="6">
        <v>1545.37</v>
      </c>
      <c r="I69" s="11" t="s">
        <v>3</v>
      </c>
      <c r="J69" s="11" t="s">
        <v>3</v>
      </c>
      <c r="K69" s="5" t="s">
        <v>3</v>
      </c>
    </row>
    <row r="70" spans="1:11" x14ac:dyDescent="0.25">
      <c r="A70" s="5">
        <v>66</v>
      </c>
      <c r="B70" s="5" t="s">
        <v>8</v>
      </c>
      <c r="C70" s="5" t="s">
        <v>543</v>
      </c>
      <c r="D70" s="5" t="s">
        <v>153</v>
      </c>
      <c r="E70" s="6">
        <v>1344.14</v>
      </c>
      <c r="F70" s="5" t="s">
        <v>1402</v>
      </c>
      <c r="G70" s="5" t="s">
        <v>2182</v>
      </c>
      <c r="H70" s="6">
        <v>1247.05</v>
      </c>
      <c r="I70" s="11" t="s">
        <v>3</v>
      </c>
      <c r="J70" s="11" t="s">
        <v>3</v>
      </c>
      <c r="K70" s="5" t="s">
        <v>3</v>
      </c>
    </row>
    <row r="71" spans="1:11" x14ac:dyDescent="0.25">
      <c r="A71" s="5">
        <v>67</v>
      </c>
      <c r="B71" s="5" t="s">
        <v>8</v>
      </c>
      <c r="C71" s="5" t="s">
        <v>543</v>
      </c>
      <c r="D71" s="5" t="s">
        <v>153</v>
      </c>
      <c r="E71" s="6">
        <v>673.82</v>
      </c>
      <c r="F71" s="5" t="s">
        <v>1402</v>
      </c>
      <c r="G71" s="5" t="s">
        <v>2183</v>
      </c>
      <c r="H71" s="6">
        <v>1247.05</v>
      </c>
      <c r="I71" s="11" t="s">
        <v>3</v>
      </c>
      <c r="J71" s="11" t="s">
        <v>3</v>
      </c>
      <c r="K71" s="5" t="s">
        <v>3</v>
      </c>
    </row>
    <row r="72" spans="1:11" x14ac:dyDescent="0.25">
      <c r="A72" s="5">
        <v>68</v>
      </c>
      <c r="B72" s="5" t="s">
        <v>8</v>
      </c>
      <c r="C72" s="5" t="s">
        <v>99</v>
      </c>
      <c r="D72" s="5" t="s">
        <v>2184</v>
      </c>
      <c r="E72" s="6">
        <v>326.2</v>
      </c>
      <c r="F72" s="5" t="s">
        <v>1424</v>
      </c>
      <c r="G72" s="5" t="s">
        <v>2185</v>
      </c>
      <c r="H72" s="6">
        <v>326</v>
      </c>
      <c r="I72" s="11" t="s">
        <v>3</v>
      </c>
      <c r="J72" s="11" t="s">
        <v>3</v>
      </c>
      <c r="K72" s="5" t="s">
        <v>3</v>
      </c>
    </row>
    <row r="73" spans="1:11" x14ac:dyDescent="0.25">
      <c r="A73" s="5">
        <v>69</v>
      </c>
      <c r="B73" s="5" t="s">
        <v>8</v>
      </c>
      <c r="C73" s="5" t="s">
        <v>1191</v>
      </c>
      <c r="D73" s="5" t="s">
        <v>661</v>
      </c>
      <c r="E73" s="6">
        <v>74800</v>
      </c>
      <c r="F73" s="5" t="s">
        <v>1419</v>
      </c>
      <c r="G73" s="5" t="s">
        <v>2186</v>
      </c>
      <c r="H73" s="6">
        <v>170.14</v>
      </c>
      <c r="I73" s="11" t="s">
        <v>3</v>
      </c>
      <c r="J73" s="11" t="s">
        <v>3</v>
      </c>
      <c r="K73" s="5" t="s">
        <v>3</v>
      </c>
    </row>
    <row r="74" spans="1:11" x14ac:dyDescent="0.25">
      <c r="A74" s="5">
        <v>70</v>
      </c>
      <c r="B74" s="5" t="s">
        <v>9</v>
      </c>
      <c r="C74" s="5" t="s">
        <v>1370</v>
      </c>
      <c r="D74" s="5" t="s">
        <v>129</v>
      </c>
      <c r="E74" s="6">
        <v>4403.23</v>
      </c>
      <c r="F74" s="5" t="s">
        <v>1396</v>
      </c>
      <c r="G74" s="5" t="s">
        <v>2187</v>
      </c>
      <c r="H74" s="6">
        <v>4403.23</v>
      </c>
      <c r="I74" s="11" t="s">
        <v>3</v>
      </c>
      <c r="J74" s="11" t="s">
        <v>3</v>
      </c>
      <c r="K74" s="5" t="s">
        <v>3</v>
      </c>
    </row>
    <row r="75" spans="1:11" x14ac:dyDescent="0.25">
      <c r="A75" s="5">
        <v>71</v>
      </c>
      <c r="B75" s="5" t="s">
        <v>9</v>
      </c>
      <c r="C75" s="5" t="s">
        <v>742</v>
      </c>
      <c r="D75" s="5" t="s">
        <v>2188</v>
      </c>
      <c r="E75" s="6">
        <v>171.13</v>
      </c>
      <c r="F75" s="5" t="s">
        <v>1396</v>
      </c>
      <c r="G75" s="5" t="s">
        <v>2189</v>
      </c>
      <c r="H75" s="6">
        <v>171.13</v>
      </c>
      <c r="I75" s="11" t="s">
        <v>3</v>
      </c>
      <c r="J75" s="11" t="s">
        <v>3</v>
      </c>
      <c r="K75" s="5" t="s">
        <v>3</v>
      </c>
    </row>
    <row r="76" spans="1:11" x14ac:dyDescent="0.25">
      <c r="A76" s="5">
        <v>72</v>
      </c>
      <c r="B76" s="5" t="s">
        <v>9</v>
      </c>
      <c r="C76" s="5" t="s">
        <v>99</v>
      </c>
      <c r="D76" s="5" t="s">
        <v>2190</v>
      </c>
      <c r="E76" s="6">
        <v>2914.8</v>
      </c>
      <c r="F76" s="5" t="s">
        <v>1424</v>
      </c>
      <c r="G76" s="5" t="s">
        <v>2191</v>
      </c>
      <c r="H76" s="6">
        <v>156.07</v>
      </c>
      <c r="I76" s="11" t="s">
        <v>3</v>
      </c>
      <c r="J76" s="11" t="s">
        <v>3</v>
      </c>
      <c r="K76" s="5" t="s">
        <v>3</v>
      </c>
    </row>
    <row r="77" spans="1:11" x14ac:dyDescent="0.25">
      <c r="A77" s="5">
        <v>73</v>
      </c>
      <c r="B77" s="5" t="s">
        <v>9</v>
      </c>
      <c r="C77" s="5" t="s">
        <v>99</v>
      </c>
      <c r="D77" s="5" t="s">
        <v>2192</v>
      </c>
      <c r="E77" s="6">
        <v>306.27</v>
      </c>
      <c r="F77" s="5" t="s">
        <v>1424</v>
      </c>
      <c r="G77" s="5" t="s">
        <v>2193</v>
      </c>
      <c r="H77" s="6">
        <v>156.07</v>
      </c>
      <c r="I77" s="11" t="s">
        <v>3</v>
      </c>
      <c r="J77" s="11" t="s">
        <v>3</v>
      </c>
      <c r="K77" s="5" t="s">
        <v>3</v>
      </c>
    </row>
    <row r="78" spans="1:11" x14ac:dyDescent="0.25">
      <c r="A78" s="24" t="s">
        <v>3</v>
      </c>
      <c r="B78" s="24" t="s">
        <v>3</v>
      </c>
      <c r="C78" s="24" t="s">
        <v>2194</v>
      </c>
      <c r="D78" s="24" t="s">
        <v>3</v>
      </c>
      <c r="E78" s="24" t="s">
        <v>3</v>
      </c>
      <c r="F78" s="24" t="s">
        <v>3</v>
      </c>
      <c r="G78" s="24" t="s">
        <v>3</v>
      </c>
      <c r="H78" s="27">
        <v>100423.47</v>
      </c>
      <c r="I78" s="24" t="s">
        <v>3</v>
      </c>
      <c r="J78" s="24" t="s">
        <v>3</v>
      </c>
      <c r="K78" s="24" t="s">
        <v>3</v>
      </c>
    </row>
  </sheetData>
  <autoFilter ref="A4:K77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7" customWidth="1"/>
    <col min="3" max="3" width="38" customWidth="1"/>
    <col min="4" max="4" width="16" customWidth="1"/>
    <col min="5" max="5" width="14" customWidth="1"/>
    <col min="6" max="6" width="34" customWidth="1"/>
    <col min="7" max="7" width="60" customWidth="1"/>
    <col min="8" max="9" width="16" customWidth="1"/>
    <col min="10" max="10" width="40" customWidth="1"/>
  </cols>
  <sheetData>
    <row r="1" ht="26" customHeight="1" spans="1:10" x14ac:dyDescent="0.25">
      <c r="A1" s="1" t="s">
        <v>2195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2196</v>
      </c>
      <c r="B2" s="2"/>
      <c r="C2" s="2"/>
      <c r="D2" s="2"/>
      <c r="E2" s="2"/>
      <c r="F2" s="2"/>
      <c r="G2" s="2"/>
      <c r="H2" s="2"/>
      <c r="I2" s="2"/>
      <c r="J2" s="2"/>
    </row>
    <row r="4" ht="30" customHeight="1" spans="1:10" x14ac:dyDescent="0.25">
      <c r="A4" s="4" t="s">
        <v>32</v>
      </c>
      <c r="B4" s="4" t="s">
        <v>33</v>
      </c>
      <c r="C4" s="4" t="s">
        <v>34</v>
      </c>
      <c r="D4" s="4" t="s">
        <v>2073</v>
      </c>
      <c r="E4" s="4" t="s">
        <v>38</v>
      </c>
      <c r="F4" s="4" t="s">
        <v>360</v>
      </c>
      <c r="G4" s="4" t="s">
        <v>2074</v>
      </c>
      <c r="H4" s="4" t="s">
        <v>2075</v>
      </c>
      <c r="I4" s="4" t="s">
        <v>2197</v>
      </c>
      <c r="J4" s="4" t="s">
        <v>498</v>
      </c>
    </row>
    <row r="5" spans="1:10" x14ac:dyDescent="0.25">
      <c r="A5" s="5">
        <v>1</v>
      </c>
      <c r="B5" s="5" t="s">
        <v>4</v>
      </c>
      <c r="C5" s="5" t="s">
        <v>42</v>
      </c>
      <c r="D5" s="5" t="s">
        <v>2198</v>
      </c>
      <c r="E5" s="6">
        <v>267</v>
      </c>
      <c r="F5" s="5" t="s">
        <v>1553</v>
      </c>
      <c r="G5" s="5" t="s">
        <v>2199</v>
      </c>
      <c r="H5" s="6">
        <v>267</v>
      </c>
      <c r="I5" s="11" t="s">
        <v>3</v>
      </c>
      <c r="J5" s="5" t="s">
        <v>3</v>
      </c>
    </row>
    <row r="6" spans="1:10" x14ac:dyDescent="0.25">
      <c r="A6" s="5">
        <v>2</v>
      </c>
      <c r="B6" s="5" t="s">
        <v>5</v>
      </c>
      <c r="C6" s="5" t="s">
        <v>162</v>
      </c>
      <c r="D6" s="5" t="s">
        <v>2198</v>
      </c>
      <c r="E6" s="6">
        <v>10255</v>
      </c>
      <c r="F6" s="5" t="s">
        <v>1424</v>
      </c>
      <c r="G6" s="5" t="s">
        <v>2200</v>
      </c>
      <c r="H6" s="6">
        <v>2592.04</v>
      </c>
      <c r="I6" s="11" t="s">
        <v>3</v>
      </c>
      <c r="J6" s="5" t="s">
        <v>3</v>
      </c>
    </row>
    <row r="7" spans="1:10" x14ac:dyDescent="0.25">
      <c r="A7" s="5">
        <v>3</v>
      </c>
      <c r="B7" s="5" t="s">
        <v>5</v>
      </c>
      <c r="C7" s="5" t="s">
        <v>916</v>
      </c>
      <c r="D7" s="5" t="s">
        <v>2198</v>
      </c>
      <c r="E7" s="6">
        <v>824.64</v>
      </c>
      <c r="F7" s="5" t="s">
        <v>1577</v>
      </c>
      <c r="G7" s="5" t="s">
        <v>2201</v>
      </c>
      <c r="H7" s="6">
        <v>149</v>
      </c>
      <c r="I7" s="11" t="s">
        <v>3</v>
      </c>
      <c r="J7" s="5" t="s">
        <v>3</v>
      </c>
    </row>
    <row r="8" spans="1:10" x14ac:dyDescent="0.25">
      <c r="A8" s="5">
        <v>4</v>
      </c>
      <c r="B8" s="5" t="s">
        <v>5</v>
      </c>
      <c r="C8" s="5" t="s">
        <v>916</v>
      </c>
      <c r="D8" s="5" t="s">
        <v>2198</v>
      </c>
      <c r="E8" s="6">
        <v>44.9</v>
      </c>
      <c r="F8" s="5" t="s">
        <v>1577</v>
      </c>
      <c r="G8" s="5" t="s">
        <v>2202</v>
      </c>
      <c r="H8" s="6">
        <v>149</v>
      </c>
      <c r="I8" s="11" t="s">
        <v>3</v>
      </c>
      <c r="J8" s="5" t="s">
        <v>3</v>
      </c>
    </row>
    <row r="9" spans="1:10" x14ac:dyDescent="0.25">
      <c r="A9" s="5">
        <v>5</v>
      </c>
      <c r="B9" s="5" t="s">
        <v>5</v>
      </c>
      <c r="C9" s="5" t="s">
        <v>1011</v>
      </c>
      <c r="D9" s="5" t="s">
        <v>2198</v>
      </c>
      <c r="E9" s="6">
        <v>44.9</v>
      </c>
      <c r="F9" s="5" t="s">
        <v>1577</v>
      </c>
      <c r="G9" s="5" t="s">
        <v>2203</v>
      </c>
      <c r="H9" s="6">
        <v>149</v>
      </c>
      <c r="I9" s="11" t="s">
        <v>3</v>
      </c>
      <c r="J9" s="5" t="s">
        <v>3</v>
      </c>
    </row>
    <row r="10" spans="1:10" x14ac:dyDescent="0.25">
      <c r="A10" s="5">
        <v>6</v>
      </c>
      <c r="B10" s="5" t="s">
        <v>5</v>
      </c>
      <c r="C10" s="5" t="s">
        <v>1009</v>
      </c>
      <c r="D10" s="5" t="s">
        <v>2198</v>
      </c>
      <c r="E10" s="6">
        <v>53.97</v>
      </c>
      <c r="F10" s="5" t="s">
        <v>1577</v>
      </c>
      <c r="G10" s="5" t="s">
        <v>2204</v>
      </c>
      <c r="H10" s="6">
        <v>53.97</v>
      </c>
      <c r="I10" s="11" t="s">
        <v>3</v>
      </c>
      <c r="J10" s="5" t="s">
        <v>3</v>
      </c>
    </row>
    <row r="11" spans="1:10" x14ac:dyDescent="0.25">
      <c r="A11" s="5">
        <v>7</v>
      </c>
      <c r="B11" s="5" t="s">
        <v>9</v>
      </c>
      <c r="C11" s="5" t="s">
        <v>582</v>
      </c>
      <c r="D11" s="5" t="s">
        <v>2198</v>
      </c>
      <c r="E11" s="6">
        <v>235.52</v>
      </c>
      <c r="F11" s="5" t="s">
        <v>1619</v>
      </c>
      <c r="G11" s="5" t="s">
        <v>2205</v>
      </c>
      <c r="H11" s="6">
        <v>110.26</v>
      </c>
      <c r="I11" s="11" t="s">
        <v>3</v>
      </c>
      <c r="J11" s="5" t="s">
        <v>3</v>
      </c>
    </row>
    <row r="12" spans="1:10" x14ac:dyDescent="0.25">
      <c r="A12" s="24" t="s">
        <v>3</v>
      </c>
      <c r="B12" s="24" t="s">
        <v>3</v>
      </c>
      <c r="C12" s="24" t="s">
        <v>2206</v>
      </c>
      <c r="D12" s="24" t="s">
        <v>3</v>
      </c>
      <c r="E12" s="24" t="s">
        <v>3</v>
      </c>
      <c r="F12" s="24" t="s">
        <v>3</v>
      </c>
      <c r="G12" s="24" t="s">
        <v>3</v>
      </c>
      <c r="H12" s="27">
        <v>3172.27</v>
      </c>
      <c r="I12" s="24" t="s">
        <v>3</v>
      </c>
      <c r="J12" s="24" t="s">
        <v>3</v>
      </c>
    </row>
  </sheetData>
  <autoFilter ref="A4:J11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Resumo</vt:lpstr>
      <vt:lpstr>O QUE FAZER</vt:lpstr>
      <vt:lpstr>Onde a Syhus erra</vt:lpstr>
      <vt:lpstr>DRE Consolidado</vt:lpstr>
      <vt:lpstr>Jan</vt:lpstr>
      <vt:lpstr>Fev</vt:lpstr>
      <vt:lpstr>Mar</vt:lpstr>
      <vt:lpstr>Abr</vt:lpstr>
      <vt:lpstr>Mai</vt:lpstr>
      <vt:lpstr>Jun</vt:lpstr>
      <vt:lpstr>Notas e pendências</vt:lpstr>
      <vt:lpstr>Validar Tesouraria</vt:lpstr>
      <vt:lpstr>Pedir NF à Syhus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Nathalia</dc:creator>
  <dc:title/>
  <dc:subject/>
  <dc:description/>
  <cp:keywords/>
  <cp:category/>
  <cp:lastModifiedBy>Nathalia</cp:lastModifiedBy>
  <dcterms:created xsi:type="dcterms:W3CDTF">2026-09-24T16:22:10Z</dcterms:created>
  <dcterms:modified xsi:type="dcterms:W3CDTF">2026-09-24T16:22:10Z</dcterms:modified>
</cp:coreProperties>
</file>